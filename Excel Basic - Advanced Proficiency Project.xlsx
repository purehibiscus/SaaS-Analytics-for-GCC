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anee\Desktop\MY CASE STUDES\Compiled Projects\Proficiency Projects\"/>
    </mc:Choice>
  </mc:AlternateContent>
  <xr:revisionPtr revIDLastSave="0" documentId="13_ncr:1_{6D4F0668-F748-41F2-A501-C78DDA258E01}" xr6:coauthVersionLast="47" xr6:coauthVersionMax="47" xr10:uidLastSave="{00000000-0000-0000-0000-000000000000}"/>
  <bookViews>
    <workbookView xWindow="-120" yWindow="-120" windowWidth="29040" windowHeight="15720" tabRatio="817" firstSheet="2" activeTab="4" xr2:uid="{5EE0A7AE-69E5-4218-9C05-202FF7971F6E}"/>
  </bookViews>
  <sheets>
    <sheet name=" Sales-Data" sheetId="1" state="hidden" r:id="rId1"/>
    <sheet name="BASIC PROFICIENCY SHEET" sheetId="2" r:id="rId2"/>
    <sheet name="INTERMEDIATE PROFICIENCY SHEET" sheetId="4" r:id="rId3"/>
    <sheet name="ADVANCED PROFICIENCY SHEET" sheetId="5" r:id="rId4"/>
    <sheet name="XLOOKUP" sheetId="7" r:id="rId5"/>
    <sheet name="PIVOT" sheetId="6" r:id="rId6"/>
  </sheets>
  <definedNames>
    <definedName name="_xlnm._FilterDatabase" localSheetId="0" hidden="1">' Sales-Data'!$A$1:$I$255</definedName>
    <definedName name="_xlnm._FilterDatabase" localSheetId="1" hidden="1">'BASIC PROFICIENCY SHEET'!$A$1:$I$255</definedName>
    <definedName name="_xlnm._FilterDatabase" localSheetId="2" hidden="1">'INTERMEDIATE PROFICIENCY SHEET'!$A$3:$L$258</definedName>
    <definedName name="City">'INTERMEDIATE PROFICIENCY SHEET'!$I$4:$I$257</definedName>
    <definedName name="Date">'INTERMEDIATE PROFICIENCY SHEET'!$B$4:$B$257</definedName>
    <definedName name="Intermediate_tbl">Table2[]</definedName>
    <definedName name="Manager">'INTERMEDIATE PROFICIENCY SHEET'!$H$4:$H$257</definedName>
    <definedName name="Order_ID">'INTERMEDIATE PROFICIENCY SHEET'!$A$4:$A$257</definedName>
    <definedName name="Payment_Method">'INTERMEDIATE PROFICIENCY SHEET'!$G$4:$G$257</definedName>
    <definedName name="Price">'INTERMEDIATE PROFICIENCY SHEET'!$D$4:$D$257</definedName>
    <definedName name="Product">'INTERMEDIATE PROFICIENCY SHEET'!$C$4:$C$257</definedName>
    <definedName name="Purchase_Type">'INTERMEDIATE PROFICIENCY SHEET'!$F$4:$F$257</definedName>
    <definedName name="Quantity">'INTERMEDIATE PROFICIENCY SHEET'!$E$4:$E$257</definedName>
    <definedName name="Totals_by_City">Table3[]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0" i="7" l="1"/>
  <c r="R41" i="7"/>
  <c r="R42" i="7"/>
  <c r="R43" i="7"/>
  <c r="N7" i="2"/>
  <c r="S19" i="2"/>
  <c r="X17" i="7"/>
  <c r="X16" i="7"/>
  <c r="X15" i="7"/>
  <c r="X18" i="7"/>
  <c r="X19" i="7"/>
  <c r="X40" i="7"/>
  <c r="X41" i="7" s="1"/>
  <c r="X39" i="7"/>
  <c r="X6" i="7"/>
  <c r="X7" i="7"/>
  <c r="X8" i="7"/>
  <c r="X5" i="7"/>
  <c r="R32" i="7" a="1"/>
  <c r="R32" i="7" s="1"/>
  <c r="R33" i="7" a="1"/>
  <c r="R33" i="7"/>
  <c r="R34" i="7" a="1"/>
  <c r="R34" i="7"/>
  <c r="R35" i="7" a="1"/>
  <c r="R35" i="7" s="1"/>
  <c r="B32" i="7"/>
  <c r="B33" i="7"/>
  <c r="B34" i="7"/>
  <c r="B35" i="7"/>
  <c r="B21" i="7" a="1"/>
  <c r="B21" i="7" s="1"/>
  <c r="B22" i="7" a="1"/>
  <c r="B22" i="7" s="1"/>
  <c r="B23" i="7" a="1"/>
  <c r="B23" i="7" s="1"/>
  <c r="B20" i="7" a="1"/>
  <c r="B20" i="7" s="1"/>
  <c r="H5" i="7"/>
  <c r="H6" i="7"/>
  <c r="H7" i="7"/>
  <c r="H8" i="7"/>
  <c r="H9" i="7"/>
  <c r="H10" i="7"/>
  <c r="H11" i="7"/>
  <c r="H12" i="7"/>
  <c r="H4" i="7"/>
  <c r="B7" i="7" s="1"/>
  <c r="N5" i="7"/>
  <c r="N6" i="7"/>
  <c r="N7" i="7"/>
  <c r="N8" i="7"/>
  <c r="N9" i="7"/>
  <c r="N10" i="7"/>
  <c r="N11" i="7"/>
  <c r="N12" i="7"/>
  <c r="N4" i="7"/>
  <c r="V26" i="5"/>
  <c r="V27" i="5"/>
  <c r="V28" i="5"/>
  <c r="V29" i="5"/>
  <c r="V25" i="5"/>
  <c r="U26" i="5"/>
  <c r="U27" i="5"/>
  <c r="U29" i="5"/>
  <c r="U25" i="5"/>
  <c r="T26" i="5"/>
  <c r="T27" i="5"/>
  <c r="T28" i="5"/>
  <c r="U28" i="5" s="1"/>
  <c r="T29" i="5"/>
  <c r="T25" i="5"/>
  <c r="Q17" i="5"/>
  <c r="P17" i="5"/>
  <c r="P6" i="5"/>
  <c r="Q6" i="5"/>
  <c r="R6" i="5"/>
  <c r="P7" i="5"/>
  <c r="Q7" i="5"/>
  <c r="R7" i="5"/>
  <c r="P8" i="5"/>
  <c r="Q8" i="5"/>
  <c r="R8" i="5"/>
  <c r="P9" i="5"/>
  <c r="Q9" i="5"/>
  <c r="R9" i="5"/>
  <c r="P10" i="5"/>
  <c r="Q10" i="5"/>
  <c r="R10" i="5"/>
  <c r="P11" i="5"/>
  <c r="Q11" i="5"/>
  <c r="R11" i="5"/>
  <c r="P12" i="5"/>
  <c r="Q12" i="5"/>
  <c r="R12" i="5"/>
  <c r="R5" i="5"/>
  <c r="Q5" i="5"/>
  <c r="P5" i="5"/>
  <c r="M5" i="5" a="1"/>
  <c r="M5" i="5" s="1"/>
  <c r="L5" i="5" a="1"/>
  <c r="L5" i="5" s="1"/>
  <c r="O8" i="4"/>
  <c r="O6" i="4"/>
  <c r="O7" i="4"/>
  <c r="T7" i="4"/>
  <c r="T6" i="4"/>
  <c r="T5" i="4"/>
  <c r="Q28" i="4"/>
  <c r="U32" i="4"/>
  <c r="S16" i="4" s="1"/>
  <c r="U35" i="4"/>
  <c r="U31" i="4"/>
  <c r="R16" i="4" s="1"/>
  <c r="U34" i="4"/>
  <c r="V16" i="4" s="1"/>
  <c r="U33" i="4"/>
  <c r="T16" i="4" s="1"/>
  <c r="T32" i="4"/>
  <c r="T35" i="4"/>
  <c r="T31" i="4"/>
  <c r="T34" i="4"/>
  <c r="S15" i="4" s="1"/>
  <c r="T33" i="4"/>
  <c r="T8" i="4"/>
  <c r="R19" i="2"/>
  <c r="Q19" i="2"/>
  <c r="V14" i="2"/>
  <c r="U14" i="2"/>
  <c r="O28" i="4"/>
  <c r="N28" i="4"/>
  <c r="O15" i="4"/>
  <c r="O12" i="4"/>
  <c r="P5" i="4"/>
  <c r="Q5" i="4"/>
  <c r="O5" i="4"/>
  <c r="P4" i="4"/>
  <c r="Q4" i="4"/>
  <c r="O4" i="4"/>
  <c r="P28" i="4"/>
  <c r="Q21" i="4"/>
  <c r="N21" i="4"/>
  <c r="O21" i="4"/>
  <c r="P21" i="4"/>
  <c r="K4" i="4" a="1"/>
  <c r="K4" i="4" s="1"/>
  <c r="L4" i="4" a="1"/>
  <c r="L4" i="4" s="1"/>
  <c r="T14" i="2"/>
  <c r="S14" i="2"/>
  <c r="R14" i="2"/>
  <c r="Q14" i="2"/>
  <c r="P14" i="2"/>
  <c r="S8" i="2"/>
  <c r="R8" i="2"/>
  <c r="Q8" i="2"/>
  <c r="P8" i="2"/>
  <c r="K8" i="2"/>
  <c r="L8" i="2"/>
  <c r="M8" i="2"/>
  <c r="N8" i="2"/>
  <c r="K9" i="2"/>
  <c r="L9" i="2"/>
  <c r="M9" i="2"/>
  <c r="N9" i="2"/>
  <c r="K10" i="2"/>
  <c r="L10" i="2"/>
  <c r="M10" i="2"/>
  <c r="N10" i="2"/>
  <c r="K11" i="2"/>
  <c r="L11" i="2"/>
  <c r="M11" i="2"/>
  <c r="N11" i="2"/>
  <c r="K12" i="2"/>
  <c r="L12" i="2"/>
  <c r="M12" i="2"/>
  <c r="N12" i="2"/>
  <c r="K13" i="2"/>
  <c r="L13" i="2"/>
  <c r="M13" i="2"/>
  <c r="N13" i="2"/>
  <c r="K14" i="2"/>
  <c r="L14" i="2"/>
  <c r="M14" i="2"/>
  <c r="N14" i="2"/>
  <c r="K15" i="2"/>
  <c r="L15" i="2"/>
  <c r="M15" i="2"/>
  <c r="N15" i="2"/>
  <c r="K16" i="2"/>
  <c r="L16" i="2"/>
  <c r="M16" i="2"/>
  <c r="N16" i="2"/>
  <c r="K17" i="2"/>
  <c r="L17" i="2"/>
  <c r="M17" i="2"/>
  <c r="N17" i="2"/>
  <c r="K18" i="2"/>
  <c r="L18" i="2"/>
  <c r="M18" i="2"/>
  <c r="N18" i="2"/>
  <c r="K19" i="2"/>
  <c r="L19" i="2"/>
  <c r="M19" i="2"/>
  <c r="N19" i="2"/>
  <c r="K20" i="2"/>
  <c r="L20" i="2"/>
  <c r="M20" i="2"/>
  <c r="N20" i="2"/>
  <c r="K21" i="2"/>
  <c r="L21" i="2"/>
  <c r="M21" i="2"/>
  <c r="N21" i="2"/>
  <c r="K22" i="2"/>
  <c r="L22" i="2"/>
  <c r="M22" i="2"/>
  <c r="N22" i="2"/>
  <c r="K23" i="2"/>
  <c r="L23" i="2"/>
  <c r="M23" i="2"/>
  <c r="N23" i="2"/>
  <c r="K24" i="2"/>
  <c r="L24" i="2"/>
  <c r="M24" i="2"/>
  <c r="N24" i="2"/>
  <c r="K25" i="2"/>
  <c r="L25" i="2"/>
  <c r="M25" i="2"/>
  <c r="N25" i="2"/>
  <c r="K26" i="2"/>
  <c r="L26" i="2"/>
  <c r="M26" i="2"/>
  <c r="N26" i="2"/>
  <c r="K27" i="2"/>
  <c r="L27" i="2"/>
  <c r="M27" i="2"/>
  <c r="N27" i="2"/>
  <c r="K28" i="2"/>
  <c r="L28" i="2"/>
  <c r="M28" i="2"/>
  <c r="N28" i="2"/>
  <c r="K29" i="2"/>
  <c r="L29" i="2"/>
  <c r="M29" i="2"/>
  <c r="N29" i="2"/>
  <c r="K30" i="2"/>
  <c r="L30" i="2"/>
  <c r="M30" i="2"/>
  <c r="N30" i="2"/>
  <c r="K31" i="2"/>
  <c r="L31" i="2"/>
  <c r="M31" i="2"/>
  <c r="N31" i="2"/>
  <c r="K32" i="2"/>
  <c r="L32" i="2"/>
  <c r="M32" i="2"/>
  <c r="N32" i="2"/>
  <c r="K33" i="2"/>
  <c r="L33" i="2"/>
  <c r="M33" i="2"/>
  <c r="N33" i="2"/>
  <c r="K34" i="2"/>
  <c r="L34" i="2"/>
  <c r="M34" i="2"/>
  <c r="N34" i="2"/>
  <c r="K35" i="2"/>
  <c r="L35" i="2"/>
  <c r="M35" i="2"/>
  <c r="N35" i="2"/>
  <c r="K36" i="2"/>
  <c r="L36" i="2"/>
  <c r="M36" i="2"/>
  <c r="N36" i="2"/>
  <c r="K37" i="2"/>
  <c r="L37" i="2"/>
  <c r="M37" i="2"/>
  <c r="N37" i="2"/>
  <c r="K38" i="2"/>
  <c r="L38" i="2"/>
  <c r="M38" i="2"/>
  <c r="N38" i="2"/>
  <c r="K39" i="2"/>
  <c r="L39" i="2"/>
  <c r="M39" i="2"/>
  <c r="N39" i="2"/>
  <c r="K40" i="2"/>
  <c r="L40" i="2"/>
  <c r="M40" i="2"/>
  <c r="N40" i="2"/>
  <c r="K41" i="2"/>
  <c r="L41" i="2"/>
  <c r="M41" i="2"/>
  <c r="N41" i="2"/>
  <c r="K42" i="2"/>
  <c r="L42" i="2"/>
  <c r="M42" i="2"/>
  <c r="N42" i="2"/>
  <c r="K43" i="2"/>
  <c r="L43" i="2"/>
  <c r="M43" i="2"/>
  <c r="N43" i="2"/>
  <c r="K44" i="2"/>
  <c r="L44" i="2"/>
  <c r="M44" i="2"/>
  <c r="N44" i="2"/>
  <c r="K45" i="2"/>
  <c r="L45" i="2"/>
  <c r="M45" i="2"/>
  <c r="N45" i="2"/>
  <c r="K46" i="2"/>
  <c r="L46" i="2"/>
  <c r="M46" i="2"/>
  <c r="N46" i="2"/>
  <c r="K47" i="2"/>
  <c r="L47" i="2"/>
  <c r="M47" i="2"/>
  <c r="N47" i="2"/>
  <c r="K48" i="2"/>
  <c r="L48" i="2"/>
  <c r="M48" i="2"/>
  <c r="N48" i="2"/>
  <c r="K49" i="2"/>
  <c r="L49" i="2"/>
  <c r="M49" i="2"/>
  <c r="N49" i="2"/>
  <c r="K50" i="2"/>
  <c r="L50" i="2"/>
  <c r="M50" i="2"/>
  <c r="N50" i="2"/>
  <c r="K51" i="2"/>
  <c r="L51" i="2"/>
  <c r="M51" i="2"/>
  <c r="N51" i="2"/>
  <c r="K52" i="2"/>
  <c r="L52" i="2"/>
  <c r="M52" i="2"/>
  <c r="N52" i="2"/>
  <c r="K53" i="2"/>
  <c r="L53" i="2"/>
  <c r="M53" i="2"/>
  <c r="N53" i="2"/>
  <c r="K54" i="2"/>
  <c r="L54" i="2"/>
  <c r="M54" i="2"/>
  <c r="N54" i="2"/>
  <c r="K55" i="2"/>
  <c r="L55" i="2"/>
  <c r="M55" i="2"/>
  <c r="N55" i="2"/>
  <c r="K56" i="2"/>
  <c r="L56" i="2"/>
  <c r="M56" i="2"/>
  <c r="N56" i="2"/>
  <c r="K57" i="2"/>
  <c r="L57" i="2"/>
  <c r="M57" i="2"/>
  <c r="N57" i="2"/>
  <c r="K58" i="2"/>
  <c r="L58" i="2"/>
  <c r="M58" i="2"/>
  <c r="N58" i="2"/>
  <c r="K59" i="2"/>
  <c r="L59" i="2"/>
  <c r="M59" i="2"/>
  <c r="N59" i="2"/>
  <c r="K60" i="2"/>
  <c r="L60" i="2"/>
  <c r="M60" i="2"/>
  <c r="N60" i="2"/>
  <c r="K61" i="2"/>
  <c r="L61" i="2"/>
  <c r="M61" i="2"/>
  <c r="N61" i="2"/>
  <c r="K62" i="2"/>
  <c r="L62" i="2"/>
  <c r="M62" i="2"/>
  <c r="N62" i="2"/>
  <c r="K63" i="2"/>
  <c r="L63" i="2"/>
  <c r="M63" i="2"/>
  <c r="N63" i="2"/>
  <c r="K64" i="2"/>
  <c r="L64" i="2"/>
  <c r="M64" i="2"/>
  <c r="N64" i="2"/>
  <c r="K65" i="2"/>
  <c r="L65" i="2"/>
  <c r="M65" i="2"/>
  <c r="N65" i="2"/>
  <c r="K66" i="2"/>
  <c r="L66" i="2"/>
  <c r="M66" i="2"/>
  <c r="N66" i="2"/>
  <c r="K67" i="2"/>
  <c r="L67" i="2"/>
  <c r="M67" i="2"/>
  <c r="N67" i="2"/>
  <c r="K68" i="2"/>
  <c r="L68" i="2"/>
  <c r="M68" i="2"/>
  <c r="N68" i="2"/>
  <c r="K69" i="2"/>
  <c r="L69" i="2"/>
  <c r="M69" i="2"/>
  <c r="N69" i="2"/>
  <c r="K70" i="2"/>
  <c r="L70" i="2"/>
  <c r="M70" i="2"/>
  <c r="N70" i="2"/>
  <c r="K71" i="2"/>
  <c r="L71" i="2"/>
  <c r="M71" i="2"/>
  <c r="N71" i="2"/>
  <c r="K72" i="2"/>
  <c r="L72" i="2"/>
  <c r="M72" i="2"/>
  <c r="N72" i="2"/>
  <c r="K73" i="2"/>
  <c r="L73" i="2"/>
  <c r="M73" i="2"/>
  <c r="N73" i="2"/>
  <c r="K74" i="2"/>
  <c r="L74" i="2"/>
  <c r="M74" i="2"/>
  <c r="N74" i="2"/>
  <c r="K75" i="2"/>
  <c r="L75" i="2"/>
  <c r="M75" i="2"/>
  <c r="N75" i="2"/>
  <c r="K76" i="2"/>
  <c r="L76" i="2"/>
  <c r="M76" i="2"/>
  <c r="N76" i="2"/>
  <c r="K77" i="2"/>
  <c r="L77" i="2"/>
  <c r="M77" i="2"/>
  <c r="N77" i="2"/>
  <c r="K78" i="2"/>
  <c r="L78" i="2"/>
  <c r="M78" i="2"/>
  <c r="N78" i="2"/>
  <c r="K79" i="2"/>
  <c r="L79" i="2"/>
  <c r="M79" i="2"/>
  <c r="N79" i="2"/>
  <c r="K80" i="2"/>
  <c r="L80" i="2"/>
  <c r="M80" i="2"/>
  <c r="N80" i="2"/>
  <c r="K81" i="2"/>
  <c r="L81" i="2"/>
  <c r="M81" i="2"/>
  <c r="N81" i="2"/>
  <c r="K82" i="2"/>
  <c r="L82" i="2"/>
  <c r="M82" i="2"/>
  <c r="N82" i="2"/>
  <c r="K83" i="2"/>
  <c r="L83" i="2"/>
  <c r="M83" i="2"/>
  <c r="N83" i="2"/>
  <c r="K84" i="2"/>
  <c r="L84" i="2"/>
  <c r="M84" i="2"/>
  <c r="N84" i="2"/>
  <c r="K85" i="2"/>
  <c r="L85" i="2"/>
  <c r="M85" i="2"/>
  <c r="N85" i="2"/>
  <c r="K86" i="2"/>
  <c r="L86" i="2"/>
  <c r="M86" i="2"/>
  <c r="N86" i="2"/>
  <c r="K87" i="2"/>
  <c r="L87" i="2"/>
  <c r="M87" i="2"/>
  <c r="N87" i="2"/>
  <c r="K88" i="2"/>
  <c r="L88" i="2"/>
  <c r="M88" i="2"/>
  <c r="N88" i="2"/>
  <c r="K89" i="2"/>
  <c r="L89" i="2"/>
  <c r="M89" i="2"/>
  <c r="N89" i="2"/>
  <c r="K90" i="2"/>
  <c r="L90" i="2"/>
  <c r="M90" i="2"/>
  <c r="N90" i="2"/>
  <c r="K91" i="2"/>
  <c r="L91" i="2"/>
  <c r="M91" i="2"/>
  <c r="N91" i="2"/>
  <c r="K92" i="2"/>
  <c r="L92" i="2"/>
  <c r="M92" i="2"/>
  <c r="N92" i="2"/>
  <c r="K93" i="2"/>
  <c r="L93" i="2"/>
  <c r="M93" i="2"/>
  <c r="N93" i="2"/>
  <c r="K94" i="2"/>
  <c r="L94" i="2"/>
  <c r="M94" i="2"/>
  <c r="N94" i="2"/>
  <c r="K95" i="2"/>
  <c r="L95" i="2"/>
  <c r="M95" i="2"/>
  <c r="N95" i="2"/>
  <c r="K96" i="2"/>
  <c r="L96" i="2"/>
  <c r="M96" i="2"/>
  <c r="N96" i="2"/>
  <c r="K97" i="2"/>
  <c r="L97" i="2"/>
  <c r="M97" i="2"/>
  <c r="N97" i="2"/>
  <c r="K98" i="2"/>
  <c r="L98" i="2"/>
  <c r="M98" i="2"/>
  <c r="N98" i="2"/>
  <c r="K99" i="2"/>
  <c r="L99" i="2"/>
  <c r="M99" i="2"/>
  <c r="N99" i="2"/>
  <c r="K100" i="2"/>
  <c r="L100" i="2"/>
  <c r="M100" i="2"/>
  <c r="N100" i="2"/>
  <c r="K101" i="2"/>
  <c r="L101" i="2"/>
  <c r="M101" i="2"/>
  <c r="N101" i="2"/>
  <c r="K102" i="2"/>
  <c r="L102" i="2"/>
  <c r="M102" i="2"/>
  <c r="N102" i="2"/>
  <c r="K103" i="2"/>
  <c r="L103" i="2"/>
  <c r="M103" i="2"/>
  <c r="N103" i="2"/>
  <c r="K104" i="2"/>
  <c r="L104" i="2"/>
  <c r="M104" i="2"/>
  <c r="N104" i="2"/>
  <c r="K105" i="2"/>
  <c r="L105" i="2"/>
  <c r="M105" i="2"/>
  <c r="N105" i="2"/>
  <c r="K106" i="2"/>
  <c r="L106" i="2"/>
  <c r="M106" i="2"/>
  <c r="N106" i="2"/>
  <c r="K107" i="2"/>
  <c r="L107" i="2"/>
  <c r="M107" i="2"/>
  <c r="N107" i="2"/>
  <c r="K108" i="2"/>
  <c r="L108" i="2"/>
  <c r="M108" i="2"/>
  <c r="N108" i="2"/>
  <c r="K109" i="2"/>
  <c r="L109" i="2"/>
  <c r="M109" i="2"/>
  <c r="N109" i="2"/>
  <c r="K110" i="2"/>
  <c r="L110" i="2"/>
  <c r="M110" i="2"/>
  <c r="N110" i="2"/>
  <c r="K111" i="2"/>
  <c r="L111" i="2"/>
  <c r="M111" i="2"/>
  <c r="N111" i="2"/>
  <c r="K112" i="2"/>
  <c r="L112" i="2"/>
  <c r="M112" i="2"/>
  <c r="N112" i="2"/>
  <c r="K113" i="2"/>
  <c r="L113" i="2"/>
  <c r="M113" i="2"/>
  <c r="N113" i="2"/>
  <c r="K114" i="2"/>
  <c r="L114" i="2"/>
  <c r="M114" i="2"/>
  <c r="N114" i="2"/>
  <c r="K115" i="2"/>
  <c r="L115" i="2"/>
  <c r="M115" i="2"/>
  <c r="N115" i="2"/>
  <c r="K116" i="2"/>
  <c r="L116" i="2"/>
  <c r="M116" i="2"/>
  <c r="N116" i="2"/>
  <c r="K117" i="2"/>
  <c r="L117" i="2"/>
  <c r="M117" i="2"/>
  <c r="N117" i="2"/>
  <c r="K118" i="2"/>
  <c r="L118" i="2"/>
  <c r="M118" i="2"/>
  <c r="N118" i="2"/>
  <c r="K119" i="2"/>
  <c r="L119" i="2"/>
  <c r="M119" i="2"/>
  <c r="N119" i="2"/>
  <c r="K120" i="2"/>
  <c r="L120" i="2"/>
  <c r="M120" i="2"/>
  <c r="N120" i="2"/>
  <c r="K121" i="2"/>
  <c r="L121" i="2"/>
  <c r="M121" i="2"/>
  <c r="N121" i="2"/>
  <c r="K122" i="2"/>
  <c r="L122" i="2"/>
  <c r="M122" i="2"/>
  <c r="N122" i="2"/>
  <c r="K123" i="2"/>
  <c r="L123" i="2"/>
  <c r="M123" i="2"/>
  <c r="N123" i="2"/>
  <c r="K124" i="2"/>
  <c r="L124" i="2"/>
  <c r="M124" i="2"/>
  <c r="N124" i="2"/>
  <c r="K125" i="2"/>
  <c r="L125" i="2"/>
  <c r="M125" i="2"/>
  <c r="N125" i="2"/>
  <c r="K126" i="2"/>
  <c r="L126" i="2"/>
  <c r="M126" i="2"/>
  <c r="N126" i="2"/>
  <c r="K127" i="2"/>
  <c r="L127" i="2"/>
  <c r="M127" i="2"/>
  <c r="N127" i="2"/>
  <c r="K128" i="2"/>
  <c r="L128" i="2"/>
  <c r="M128" i="2"/>
  <c r="N128" i="2"/>
  <c r="K129" i="2"/>
  <c r="L129" i="2"/>
  <c r="M129" i="2"/>
  <c r="N129" i="2"/>
  <c r="K130" i="2"/>
  <c r="L130" i="2"/>
  <c r="M130" i="2"/>
  <c r="N130" i="2"/>
  <c r="K131" i="2"/>
  <c r="L131" i="2"/>
  <c r="M131" i="2"/>
  <c r="N131" i="2"/>
  <c r="K132" i="2"/>
  <c r="L132" i="2"/>
  <c r="M132" i="2"/>
  <c r="N132" i="2"/>
  <c r="K133" i="2"/>
  <c r="L133" i="2"/>
  <c r="M133" i="2"/>
  <c r="N133" i="2"/>
  <c r="K134" i="2"/>
  <c r="L134" i="2"/>
  <c r="M134" i="2"/>
  <c r="N134" i="2"/>
  <c r="K135" i="2"/>
  <c r="L135" i="2"/>
  <c r="M135" i="2"/>
  <c r="N135" i="2"/>
  <c r="K136" i="2"/>
  <c r="L136" i="2"/>
  <c r="M136" i="2"/>
  <c r="N136" i="2"/>
  <c r="K137" i="2"/>
  <c r="L137" i="2"/>
  <c r="M137" i="2"/>
  <c r="N137" i="2"/>
  <c r="K138" i="2"/>
  <c r="L138" i="2"/>
  <c r="M138" i="2"/>
  <c r="N138" i="2"/>
  <c r="K139" i="2"/>
  <c r="L139" i="2"/>
  <c r="M139" i="2"/>
  <c r="N139" i="2"/>
  <c r="K140" i="2"/>
  <c r="L140" i="2"/>
  <c r="M140" i="2"/>
  <c r="N140" i="2"/>
  <c r="K141" i="2"/>
  <c r="L141" i="2"/>
  <c r="M141" i="2"/>
  <c r="N141" i="2"/>
  <c r="K142" i="2"/>
  <c r="L142" i="2"/>
  <c r="M142" i="2"/>
  <c r="N142" i="2"/>
  <c r="K143" i="2"/>
  <c r="L143" i="2"/>
  <c r="M143" i="2"/>
  <c r="N143" i="2"/>
  <c r="K144" i="2"/>
  <c r="L144" i="2"/>
  <c r="M144" i="2"/>
  <c r="N144" i="2"/>
  <c r="K145" i="2"/>
  <c r="L145" i="2"/>
  <c r="M145" i="2"/>
  <c r="N145" i="2"/>
  <c r="K146" i="2"/>
  <c r="L146" i="2"/>
  <c r="M146" i="2"/>
  <c r="N146" i="2"/>
  <c r="K147" i="2"/>
  <c r="L147" i="2"/>
  <c r="M147" i="2"/>
  <c r="N147" i="2"/>
  <c r="K148" i="2"/>
  <c r="L148" i="2"/>
  <c r="M148" i="2"/>
  <c r="N148" i="2"/>
  <c r="K149" i="2"/>
  <c r="L149" i="2"/>
  <c r="M149" i="2"/>
  <c r="N149" i="2"/>
  <c r="K150" i="2"/>
  <c r="L150" i="2"/>
  <c r="M150" i="2"/>
  <c r="N150" i="2"/>
  <c r="K151" i="2"/>
  <c r="L151" i="2"/>
  <c r="M151" i="2"/>
  <c r="N151" i="2"/>
  <c r="K152" i="2"/>
  <c r="L152" i="2"/>
  <c r="M152" i="2"/>
  <c r="N152" i="2"/>
  <c r="K153" i="2"/>
  <c r="L153" i="2"/>
  <c r="M153" i="2"/>
  <c r="N153" i="2"/>
  <c r="K154" i="2"/>
  <c r="L154" i="2"/>
  <c r="M154" i="2"/>
  <c r="N154" i="2"/>
  <c r="K155" i="2"/>
  <c r="L155" i="2"/>
  <c r="M155" i="2"/>
  <c r="N155" i="2"/>
  <c r="K156" i="2"/>
  <c r="L156" i="2"/>
  <c r="M156" i="2"/>
  <c r="N156" i="2"/>
  <c r="K157" i="2"/>
  <c r="L157" i="2"/>
  <c r="M157" i="2"/>
  <c r="N157" i="2"/>
  <c r="K158" i="2"/>
  <c r="L158" i="2"/>
  <c r="M158" i="2"/>
  <c r="N158" i="2"/>
  <c r="K159" i="2"/>
  <c r="L159" i="2"/>
  <c r="M159" i="2"/>
  <c r="N159" i="2"/>
  <c r="K160" i="2"/>
  <c r="L160" i="2"/>
  <c r="M160" i="2"/>
  <c r="N160" i="2"/>
  <c r="K161" i="2"/>
  <c r="L161" i="2"/>
  <c r="M161" i="2"/>
  <c r="N161" i="2"/>
  <c r="K162" i="2"/>
  <c r="L162" i="2"/>
  <c r="M162" i="2"/>
  <c r="N162" i="2"/>
  <c r="K163" i="2"/>
  <c r="L163" i="2"/>
  <c r="M163" i="2"/>
  <c r="N163" i="2"/>
  <c r="K164" i="2"/>
  <c r="L164" i="2"/>
  <c r="M164" i="2"/>
  <c r="N164" i="2"/>
  <c r="K165" i="2"/>
  <c r="L165" i="2"/>
  <c r="M165" i="2"/>
  <c r="N165" i="2"/>
  <c r="K166" i="2"/>
  <c r="L166" i="2"/>
  <c r="M166" i="2"/>
  <c r="N166" i="2"/>
  <c r="K167" i="2"/>
  <c r="L167" i="2"/>
  <c r="M167" i="2"/>
  <c r="N167" i="2"/>
  <c r="K168" i="2"/>
  <c r="L168" i="2"/>
  <c r="M168" i="2"/>
  <c r="N168" i="2"/>
  <c r="K169" i="2"/>
  <c r="L169" i="2"/>
  <c r="M169" i="2"/>
  <c r="N169" i="2"/>
  <c r="K170" i="2"/>
  <c r="L170" i="2"/>
  <c r="M170" i="2"/>
  <c r="N170" i="2"/>
  <c r="K171" i="2"/>
  <c r="L171" i="2"/>
  <c r="M171" i="2"/>
  <c r="N171" i="2"/>
  <c r="K172" i="2"/>
  <c r="L172" i="2"/>
  <c r="M172" i="2"/>
  <c r="N172" i="2"/>
  <c r="K173" i="2"/>
  <c r="L173" i="2"/>
  <c r="M173" i="2"/>
  <c r="N173" i="2"/>
  <c r="K174" i="2"/>
  <c r="L174" i="2"/>
  <c r="M174" i="2"/>
  <c r="N174" i="2"/>
  <c r="K175" i="2"/>
  <c r="L175" i="2"/>
  <c r="M175" i="2"/>
  <c r="N175" i="2"/>
  <c r="K176" i="2"/>
  <c r="L176" i="2"/>
  <c r="M176" i="2"/>
  <c r="N176" i="2"/>
  <c r="K177" i="2"/>
  <c r="L177" i="2"/>
  <c r="M177" i="2"/>
  <c r="N177" i="2"/>
  <c r="K178" i="2"/>
  <c r="L178" i="2"/>
  <c r="M178" i="2"/>
  <c r="N178" i="2"/>
  <c r="K179" i="2"/>
  <c r="L179" i="2"/>
  <c r="M179" i="2"/>
  <c r="N179" i="2"/>
  <c r="K180" i="2"/>
  <c r="L180" i="2"/>
  <c r="M180" i="2"/>
  <c r="N180" i="2"/>
  <c r="K181" i="2"/>
  <c r="L181" i="2"/>
  <c r="M181" i="2"/>
  <c r="N181" i="2"/>
  <c r="K182" i="2"/>
  <c r="L182" i="2"/>
  <c r="M182" i="2"/>
  <c r="N182" i="2"/>
  <c r="K183" i="2"/>
  <c r="L183" i="2"/>
  <c r="M183" i="2"/>
  <c r="N183" i="2"/>
  <c r="K184" i="2"/>
  <c r="L184" i="2"/>
  <c r="M184" i="2"/>
  <c r="N184" i="2"/>
  <c r="K185" i="2"/>
  <c r="L185" i="2"/>
  <c r="M185" i="2"/>
  <c r="N185" i="2"/>
  <c r="K186" i="2"/>
  <c r="L186" i="2"/>
  <c r="M186" i="2"/>
  <c r="N186" i="2"/>
  <c r="K187" i="2"/>
  <c r="L187" i="2"/>
  <c r="M187" i="2"/>
  <c r="N187" i="2"/>
  <c r="K188" i="2"/>
  <c r="L188" i="2"/>
  <c r="M188" i="2"/>
  <c r="N188" i="2"/>
  <c r="K189" i="2"/>
  <c r="L189" i="2"/>
  <c r="M189" i="2"/>
  <c r="N189" i="2"/>
  <c r="K190" i="2"/>
  <c r="L190" i="2"/>
  <c r="M190" i="2"/>
  <c r="N190" i="2"/>
  <c r="K191" i="2"/>
  <c r="L191" i="2"/>
  <c r="M191" i="2"/>
  <c r="N191" i="2"/>
  <c r="K192" i="2"/>
  <c r="L192" i="2"/>
  <c r="M192" i="2"/>
  <c r="N192" i="2"/>
  <c r="K193" i="2"/>
  <c r="L193" i="2"/>
  <c r="M193" i="2"/>
  <c r="N193" i="2"/>
  <c r="K194" i="2"/>
  <c r="L194" i="2"/>
  <c r="M194" i="2"/>
  <c r="N194" i="2"/>
  <c r="K195" i="2"/>
  <c r="L195" i="2"/>
  <c r="M195" i="2"/>
  <c r="N195" i="2"/>
  <c r="K196" i="2"/>
  <c r="L196" i="2"/>
  <c r="M196" i="2"/>
  <c r="N196" i="2"/>
  <c r="K197" i="2"/>
  <c r="L197" i="2"/>
  <c r="M197" i="2"/>
  <c r="N197" i="2"/>
  <c r="K198" i="2"/>
  <c r="L198" i="2"/>
  <c r="M198" i="2"/>
  <c r="N198" i="2"/>
  <c r="K199" i="2"/>
  <c r="L199" i="2"/>
  <c r="M199" i="2"/>
  <c r="N199" i="2"/>
  <c r="K200" i="2"/>
  <c r="L200" i="2"/>
  <c r="M200" i="2"/>
  <c r="N200" i="2"/>
  <c r="K201" i="2"/>
  <c r="L201" i="2"/>
  <c r="M201" i="2"/>
  <c r="N201" i="2"/>
  <c r="K202" i="2"/>
  <c r="L202" i="2"/>
  <c r="M202" i="2"/>
  <c r="N202" i="2"/>
  <c r="K203" i="2"/>
  <c r="L203" i="2"/>
  <c r="M203" i="2"/>
  <c r="N203" i="2"/>
  <c r="K204" i="2"/>
  <c r="L204" i="2"/>
  <c r="M204" i="2"/>
  <c r="N204" i="2"/>
  <c r="K205" i="2"/>
  <c r="L205" i="2"/>
  <c r="M205" i="2"/>
  <c r="N205" i="2"/>
  <c r="K206" i="2"/>
  <c r="L206" i="2"/>
  <c r="M206" i="2"/>
  <c r="N206" i="2"/>
  <c r="K207" i="2"/>
  <c r="L207" i="2"/>
  <c r="M207" i="2"/>
  <c r="N207" i="2"/>
  <c r="K208" i="2"/>
  <c r="L208" i="2"/>
  <c r="M208" i="2"/>
  <c r="N208" i="2"/>
  <c r="K209" i="2"/>
  <c r="L209" i="2"/>
  <c r="M209" i="2"/>
  <c r="N209" i="2"/>
  <c r="K210" i="2"/>
  <c r="L210" i="2"/>
  <c r="M210" i="2"/>
  <c r="N210" i="2"/>
  <c r="K211" i="2"/>
  <c r="L211" i="2"/>
  <c r="M211" i="2"/>
  <c r="N211" i="2"/>
  <c r="K212" i="2"/>
  <c r="L212" i="2"/>
  <c r="M212" i="2"/>
  <c r="N212" i="2"/>
  <c r="K213" i="2"/>
  <c r="L213" i="2"/>
  <c r="M213" i="2"/>
  <c r="N213" i="2"/>
  <c r="K214" i="2"/>
  <c r="L214" i="2"/>
  <c r="M214" i="2"/>
  <c r="N214" i="2"/>
  <c r="K215" i="2"/>
  <c r="L215" i="2"/>
  <c r="M215" i="2"/>
  <c r="N215" i="2"/>
  <c r="K216" i="2"/>
  <c r="L216" i="2"/>
  <c r="M216" i="2"/>
  <c r="N216" i="2"/>
  <c r="K217" i="2"/>
  <c r="L217" i="2"/>
  <c r="M217" i="2"/>
  <c r="N217" i="2"/>
  <c r="K218" i="2"/>
  <c r="L218" i="2"/>
  <c r="M218" i="2"/>
  <c r="N218" i="2"/>
  <c r="K219" i="2"/>
  <c r="L219" i="2"/>
  <c r="M219" i="2"/>
  <c r="N219" i="2"/>
  <c r="K220" i="2"/>
  <c r="L220" i="2"/>
  <c r="M220" i="2"/>
  <c r="N220" i="2"/>
  <c r="K221" i="2"/>
  <c r="L221" i="2"/>
  <c r="M221" i="2"/>
  <c r="N221" i="2"/>
  <c r="K222" i="2"/>
  <c r="L222" i="2"/>
  <c r="M222" i="2"/>
  <c r="N222" i="2"/>
  <c r="K223" i="2"/>
  <c r="L223" i="2"/>
  <c r="M223" i="2"/>
  <c r="N223" i="2"/>
  <c r="K224" i="2"/>
  <c r="L224" i="2"/>
  <c r="M224" i="2"/>
  <c r="N224" i="2"/>
  <c r="K225" i="2"/>
  <c r="L225" i="2"/>
  <c r="M225" i="2"/>
  <c r="N225" i="2"/>
  <c r="K226" i="2"/>
  <c r="L226" i="2"/>
  <c r="M226" i="2"/>
  <c r="N226" i="2"/>
  <c r="K227" i="2"/>
  <c r="L227" i="2"/>
  <c r="M227" i="2"/>
  <c r="N227" i="2"/>
  <c r="K228" i="2"/>
  <c r="L228" i="2"/>
  <c r="M228" i="2"/>
  <c r="N228" i="2"/>
  <c r="K229" i="2"/>
  <c r="L229" i="2"/>
  <c r="M229" i="2"/>
  <c r="N229" i="2"/>
  <c r="K230" i="2"/>
  <c r="L230" i="2"/>
  <c r="M230" i="2"/>
  <c r="N230" i="2"/>
  <c r="K231" i="2"/>
  <c r="L231" i="2"/>
  <c r="M231" i="2"/>
  <c r="N231" i="2"/>
  <c r="K232" i="2"/>
  <c r="L232" i="2"/>
  <c r="M232" i="2"/>
  <c r="N232" i="2"/>
  <c r="K233" i="2"/>
  <c r="L233" i="2"/>
  <c r="M233" i="2"/>
  <c r="N233" i="2"/>
  <c r="K234" i="2"/>
  <c r="L234" i="2"/>
  <c r="M234" i="2"/>
  <c r="N234" i="2"/>
  <c r="K235" i="2"/>
  <c r="L235" i="2"/>
  <c r="M235" i="2"/>
  <c r="N235" i="2"/>
  <c r="K236" i="2"/>
  <c r="L236" i="2"/>
  <c r="M236" i="2"/>
  <c r="N236" i="2"/>
  <c r="K237" i="2"/>
  <c r="L237" i="2"/>
  <c r="M237" i="2"/>
  <c r="N237" i="2"/>
  <c r="K238" i="2"/>
  <c r="L238" i="2"/>
  <c r="M238" i="2"/>
  <c r="N238" i="2"/>
  <c r="K239" i="2"/>
  <c r="L239" i="2"/>
  <c r="M239" i="2"/>
  <c r="N239" i="2"/>
  <c r="K240" i="2"/>
  <c r="L240" i="2"/>
  <c r="M240" i="2"/>
  <c r="N240" i="2"/>
  <c r="K241" i="2"/>
  <c r="L241" i="2"/>
  <c r="M241" i="2"/>
  <c r="N241" i="2"/>
  <c r="K242" i="2"/>
  <c r="L242" i="2"/>
  <c r="M242" i="2"/>
  <c r="N242" i="2"/>
  <c r="K243" i="2"/>
  <c r="L243" i="2"/>
  <c r="M243" i="2"/>
  <c r="N243" i="2"/>
  <c r="K244" i="2"/>
  <c r="L244" i="2"/>
  <c r="M244" i="2"/>
  <c r="N244" i="2"/>
  <c r="K245" i="2"/>
  <c r="L245" i="2"/>
  <c r="M245" i="2"/>
  <c r="N245" i="2"/>
  <c r="K246" i="2"/>
  <c r="L246" i="2"/>
  <c r="M246" i="2"/>
  <c r="N246" i="2"/>
  <c r="K247" i="2"/>
  <c r="L247" i="2"/>
  <c r="M247" i="2"/>
  <c r="N247" i="2"/>
  <c r="K248" i="2"/>
  <c r="L248" i="2"/>
  <c r="M248" i="2"/>
  <c r="N248" i="2"/>
  <c r="K249" i="2"/>
  <c r="L249" i="2"/>
  <c r="M249" i="2"/>
  <c r="N249" i="2"/>
  <c r="K250" i="2"/>
  <c r="L250" i="2"/>
  <c r="M250" i="2"/>
  <c r="N250" i="2"/>
  <c r="K251" i="2"/>
  <c r="L251" i="2"/>
  <c r="M251" i="2"/>
  <c r="N251" i="2"/>
  <c r="K252" i="2"/>
  <c r="L252" i="2"/>
  <c r="M252" i="2"/>
  <c r="N252" i="2"/>
  <c r="K253" i="2"/>
  <c r="L253" i="2"/>
  <c r="M253" i="2"/>
  <c r="N253" i="2"/>
  <c r="K254" i="2"/>
  <c r="L254" i="2"/>
  <c r="M254" i="2"/>
  <c r="N254" i="2"/>
  <c r="K255" i="2"/>
  <c r="L255" i="2"/>
  <c r="M255" i="2"/>
  <c r="N255" i="2"/>
  <c r="K256" i="2"/>
  <c r="L256" i="2"/>
  <c r="M256" i="2"/>
  <c r="N256" i="2"/>
  <c r="K257" i="2"/>
  <c r="L257" i="2"/>
  <c r="M257" i="2"/>
  <c r="N257" i="2"/>
  <c r="K258" i="2"/>
  <c r="L258" i="2"/>
  <c r="M258" i="2"/>
  <c r="N258" i="2"/>
  <c r="K259" i="2"/>
  <c r="L259" i="2"/>
  <c r="M259" i="2"/>
  <c r="N259" i="2"/>
  <c r="M7" i="2"/>
  <c r="L7" i="2"/>
  <c r="K7" i="2"/>
  <c r="B8" i="7" l="1"/>
  <c r="B6" i="7"/>
  <c r="B9" i="7"/>
  <c r="R15" i="4"/>
  <c r="V15" i="4"/>
  <c r="U16" i="4"/>
  <c r="U15" i="4"/>
  <c r="T1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8A12E6-884B-482C-A8C4-2EBE21820226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<sst xmlns="http://schemas.openxmlformats.org/spreadsheetml/2006/main" count="6631" uniqueCount="301">
  <si>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</si>
  <si>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</si>
  <si>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</si>
  <si>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</si>
  <si>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</si>
  <si>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</si>
  <si>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</si>
  <si>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</si>
  <si>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</si>
  <si>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07-11-2022</t>
  </si>
  <si>
    <t>Fries</t>
  </si>
  <si>
    <t xml:space="preserve">Online </t>
  </si>
  <si>
    <t xml:space="preserve"> Gift Card</t>
  </si>
  <si>
    <t>Tom      Jackson</t>
  </si>
  <si>
    <t>London</t>
  </si>
  <si>
    <t>Beverages</t>
  </si>
  <si>
    <t xml:space="preserve">       Pablo Perez</t>
  </si>
  <si>
    <t>Madrid</t>
  </si>
  <si>
    <t>Sides &amp; Other</t>
  </si>
  <si>
    <t xml:space="preserve">In-store </t>
  </si>
  <si>
    <t>Joao    Silva</t>
  </si>
  <si>
    <t>Lisbon</t>
  </si>
  <si>
    <t>08-11-2022</t>
  </si>
  <si>
    <t>Burgers</t>
  </si>
  <si>
    <t xml:space="preserve"> Credit Card</t>
  </si>
  <si>
    <t>Walter Muller</t>
  </si>
  <si>
    <t>Berlin</t>
  </si>
  <si>
    <t>Chicken Sandwiches</t>
  </si>
  <si>
    <t>Remy    Monet</t>
  </si>
  <si>
    <t>Paris</t>
  </si>
  <si>
    <t>09-11-2022</t>
  </si>
  <si>
    <t>Remy Monet</t>
  </si>
  <si>
    <t xml:space="preserve">       Remy Monet</t>
  </si>
  <si>
    <t>Remy     Monet</t>
  </si>
  <si>
    <t>10-11-2022</t>
  </si>
  <si>
    <t>Pablo Perez</t>
  </si>
  <si>
    <t>11-11-2022</t>
  </si>
  <si>
    <t>Pablo   Perez</t>
  </si>
  <si>
    <t>12-11-2022</t>
  </si>
  <si>
    <t>Pablo  Perez</t>
  </si>
  <si>
    <t>Pablo    Perez</t>
  </si>
  <si>
    <t>13-11-2022</t>
  </si>
  <si>
    <t>Joao Silva</t>
  </si>
  <si>
    <t>14-11-2022</t>
  </si>
  <si>
    <t>15-11-2022</t>
  </si>
  <si>
    <t>16-11-2022</t>
  </si>
  <si>
    <t xml:space="preserve">Drive-thru </t>
  </si>
  <si>
    <t>17-11-2022</t>
  </si>
  <si>
    <t>18-11-2022</t>
  </si>
  <si>
    <t>19-11-2022</t>
  </si>
  <si>
    <t xml:space="preserve"> Cash</t>
  </si>
  <si>
    <t>20-11-2022</t>
  </si>
  <si>
    <t>21-11-2022</t>
  </si>
  <si>
    <t>22-11-2022</t>
  </si>
  <si>
    <t>23-11-2022</t>
  </si>
  <si>
    <t>24-11-2022</t>
  </si>
  <si>
    <t>25-11-2022</t>
  </si>
  <si>
    <t>Tom Jackson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</si>
  <si>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</si>
  <si>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</si>
  <si>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</si>
  <si>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</si>
  <si>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</si>
  <si>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</si>
  <si>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</si>
  <si>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</si>
  <si>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</si>
  <si>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</si>
  <si>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</si>
  <si>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</si>
  <si>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</si>
  <si>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</si>
  <si>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</si>
  <si>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</si>
  <si>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</si>
  <si>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</si>
  <si>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</si>
  <si>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</si>
  <si>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</si>
  <si>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</si>
  <si>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</si>
  <si>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</si>
  <si>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</si>
  <si>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</si>
  <si>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</si>
  <si>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</si>
  <si>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</si>
  <si>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</si>
  <si>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</si>
  <si>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</si>
  <si>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</si>
  <si>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</si>
  <si>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SUM</t>
  </si>
  <si>
    <t>AVERAGE</t>
  </si>
  <si>
    <t>COUNT</t>
  </si>
  <si>
    <t>COUNTA</t>
  </si>
  <si>
    <t>COUNTBLANK</t>
  </si>
  <si>
    <t>BASIC TEXT FUNCTIONS</t>
  </si>
  <si>
    <t>BASIC FORMULAS</t>
  </si>
  <si>
    <t>BASIC ARITHMETIC FUNCTIONS:</t>
  </si>
  <si>
    <t>LOWER</t>
  </si>
  <si>
    <t>PROPER</t>
  </si>
  <si>
    <t>UPPER</t>
  </si>
  <si>
    <t>TRIM</t>
  </si>
  <si>
    <t>TODAY</t>
  </si>
  <si>
    <t>DAY</t>
  </si>
  <si>
    <t>MONTH</t>
  </si>
  <si>
    <t>YEAR</t>
  </si>
  <si>
    <t>BASIC DATE &amp; TIME FUNCTIONS</t>
  </si>
  <si>
    <t>CONCAT</t>
  </si>
  <si>
    <t>Online</t>
  </si>
  <si>
    <t>In-store</t>
  </si>
  <si>
    <t>Drive-thru</t>
  </si>
  <si>
    <t>Credit Card</t>
  </si>
  <si>
    <t>Gift Card</t>
  </si>
  <si>
    <t>Cash</t>
  </si>
  <si>
    <t>TOTAL ORDERS</t>
  </si>
  <si>
    <t>OVERALL AVG PRICE</t>
  </si>
  <si>
    <t>REVENUE</t>
  </si>
  <si>
    <t>IF</t>
  </si>
  <si>
    <t>IFS</t>
  </si>
  <si>
    <t>SUMIF</t>
  </si>
  <si>
    <t>SUMIFS</t>
  </si>
  <si>
    <t>COUNTIF</t>
  </si>
  <si>
    <t>COUNTIFS</t>
  </si>
  <si>
    <t>LEFT</t>
  </si>
  <si>
    <t>RIGHT</t>
  </si>
  <si>
    <t>MID</t>
  </si>
  <si>
    <t>LEN</t>
  </si>
  <si>
    <t>FIND</t>
  </si>
  <si>
    <t>SEARCH</t>
  </si>
  <si>
    <t>REPLACE</t>
  </si>
  <si>
    <t>Date and Time Functions:</t>
  </si>
  <si>
    <t>DAYS</t>
  </si>
  <si>
    <t>NETWORKDAYS</t>
  </si>
  <si>
    <t>EOMONTH</t>
  </si>
  <si>
    <t>Lookup and Reference:</t>
  </si>
  <si>
    <t>VLOOKUP</t>
  </si>
  <si>
    <t>INDEX-MATCH</t>
  </si>
  <si>
    <t>INTERMEDIATE FORMULAS</t>
  </si>
  <si>
    <t>gift Card</t>
  </si>
  <si>
    <t>S 2399.98</t>
  </si>
  <si>
    <t/>
  </si>
  <si>
    <t>Total Online Sales Paid with Credit Card</t>
  </si>
  <si>
    <t>Online Revenue Paid with Credit Card</t>
  </si>
  <si>
    <t>This is a red Apple</t>
  </si>
  <si>
    <t>The apple is raw</t>
  </si>
  <si>
    <t>MAX</t>
  </si>
  <si>
    <t>MIN</t>
  </si>
  <si>
    <t xml:space="preserve">Online Average Price </t>
  </si>
  <si>
    <t>AVERAGEIF</t>
  </si>
  <si>
    <t>TEXT TO DATE</t>
  </si>
  <si>
    <t>Tony</t>
  </si>
  <si>
    <t>Flenderson</t>
  </si>
  <si>
    <t>TEXTJOIN</t>
  </si>
  <si>
    <t>CONDITIONAL FUNCTIONS:</t>
  </si>
  <si>
    <t>TEXT MANIPULATION FUNCTIONS:</t>
  </si>
  <si>
    <t>SUBSTITUTE</t>
  </si>
  <si>
    <t>ADVANCED FORMULAS</t>
  </si>
  <si>
    <t>ARRAY FUNCTIONS</t>
  </si>
  <si>
    <t>SORT</t>
  </si>
  <si>
    <t>UNIQUE</t>
  </si>
  <si>
    <t>ISBLANK</t>
  </si>
  <si>
    <t>ISFORMULA</t>
  </si>
  <si>
    <t>ISTEXT</t>
  </si>
  <si>
    <t>STATISTICAL FUNCTIONS</t>
  </si>
  <si>
    <t>STDEV</t>
  </si>
  <si>
    <t>VAR</t>
  </si>
  <si>
    <t>AND</t>
  </si>
  <si>
    <t>OR</t>
  </si>
  <si>
    <t>NOT</t>
  </si>
  <si>
    <t>Total Sales</t>
  </si>
  <si>
    <t>Total Orders</t>
  </si>
  <si>
    <t>Total Sales(SUMIF)</t>
  </si>
  <si>
    <t>Total Orders(COUNTIF)</t>
  </si>
  <si>
    <t>Random data generated</t>
  </si>
  <si>
    <t>INFORMATION FUNCTIONS</t>
  </si>
  <si>
    <t>Grand Total</t>
  </si>
  <si>
    <t>AVG Unit Price</t>
  </si>
  <si>
    <t>Products</t>
  </si>
  <si>
    <t>Products Quantity</t>
  </si>
  <si>
    <t>Date Functions Application</t>
  </si>
  <si>
    <t>Joining Text Strings</t>
  </si>
  <si>
    <t>CHECKING FOR EMPTY CELLS</t>
  </si>
  <si>
    <t>Extracting characters from Date column</t>
  </si>
  <si>
    <t>Checking character length</t>
  </si>
  <si>
    <t>Searching for "Apple", specifically returning the first character (A) from the above cell</t>
  </si>
  <si>
    <t>Returning the number of characters "Apple" from the above</t>
  </si>
  <si>
    <t>Relacing the lower-case with an upper "G"</t>
  </si>
  <si>
    <t>Substituting the "S" as the assigned currency and replacing with nothing and converting to currency from the Menu bar</t>
  </si>
  <si>
    <t>Alan Josh</t>
  </si>
  <si>
    <t>Flender Henry</t>
  </si>
  <si>
    <t>Jay Jai</t>
  </si>
  <si>
    <t>Alex Jim</t>
  </si>
  <si>
    <t>Jacob Ben</t>
  </si>
  <si>
    <t>Customers</t>
  </si>
  <si>
    <t>Order Price</t>
  </si>
  <si>
    <t>Tissue Paper</t>
  </si>
  <si>
    <t>Traveling Bag</t>
  </si>
  <si>
    <t>Sweets</t>
  </si>
  <si>
    <t>Credit Bag</t>
  </si>
  <si>
    <t>Biscuits</t>
  </si>
  <si>
    <t>Total Price</t>
  </si>
  <si>
    <t>&gt;=35, &lt;=25</t>
  </si>
  <si>
    <t>Rules</t>
  </si>
  <si>
    <t>Conditional Formating</t>
  </si>
  <si>
    <t>Cities</t>
  </si>
  <si>
    <t>SEQUENCE</t>
  </si>
  <si>
    <t>FILTER</t>
  </si>
  <si>
    <t>RANDARRAY</t>
  </si>
  <si>
    <t>Email</t>
  </si>
  <si>
    <t>First Name</t>
  </si>
  <si>
    <t>Last Name</t>
  </si>
  <si>
    <t>Jackson</t>
  </si>
  <si>
    <t>Perez</t>
  </si>
  <si>
    <t>Silva</t>
  </si>
  <si>
    <t>Muller</t>
  </si>
  <si>
    <t>Monet</t>
  </si>
  <si>
    <t>Jayson</t>
  </si>
  <si>
    <t>Ben</t>
  </si>
  <si>
    <t>Remy</t>
  </si>
  <si>
    <t>Walter</t>
  </si>
  <si>
    <t>Joao</t>
  </si>
  <si>
    <t>Pablo</t>
  </si>
  <si>
    <t>Tom</t>
  </si>
  <si>
    <t>Ferguson</t>
  </si>
  <si>
    <t>Salkini</t>
  </si>
  <si>
    <t>John</t>
  </si>
  <si>
    <t>Linda</t>
  </si>
  <si>
    <t>Aaron</t>
  </si>
  <si>
    <t>Paul</t>
  </si>
  <si>
    <t>Salesman</t>
  </si>
  <si>
    <t>SME</t>
  </si>
  <si>
    <t>Accountant</t>
  </si>
  <si>
    <t>Admin</t>
  </si>
  <si>
    <t>Developer</t>
  </si>
  <si>
    <t>Engineer</t>
  </si>
  <si>
    <t>Project Manager</t>
  </si>
  <si>
    <t>JobTitle</t>
  </si>
  <si>
    <t>Data Analyst</t>
  </si>
  <si>
    <t>Product Designer</t>
  </si>
  <si>
    <t>Age</t>
  </si>
  <si>
    <t>Employee ID</t>
  </si>
  <si>
    <t>Full Name</t>
  </si>
  <si>
    <t>Ben Jayson</t>
  </si>
  <si>
    <t>Paul Ferguson</t>
  </si>
  <si>
    <t>Aaron Salkini</t>
  </si>
  <si>
    <t>Linda John</t>
  </si>
  <si>
    <t>Gender</t>
  </si>
  <si>
    <t>Male</t>
  </si>
  <si>
    <t>Female</t>
  </si>
  <si>
    <t>Salary</t>
  </si>
  <si>
    <t>Start Date</t>
  </si>
  <si>
    <t>tom.jackson@aol.com</t>
  </si>
  <si>
    <t>pablo.perez@aol.com</t>
  </si>
  <si>
    <t>joao.silva@aol.com</t>
  </si>
  <si>
    <t>walter.muller@aol.com</t>
  </si>
  <si>
    <t>ben.jayson@aol.com</t>
  </si>
  <si>
    <t>remy.monet@aol.com</t>
  </si>
  <si>
    <t>paul.ferguson@aol.com</t>
  </si>
  <si>
    <t>aaron.salkini@aol.com</t>
  </si>
  <si>
    <t>linda.john@aol.com</t>
  </si>
  <si>
    <t>XLOOKUP: Multiple Rows</t>
  </si>
  <si>
    <t>XLOOKUP:  WITH REQUIRED OPTIONS ONLY</t>
  </si>
  <si>
    <t>Limitations: Return array must be next to each other</t>
  </si>
  <si>
    <t>XLOOKUP: Exact Match</t>
  </si>
  <si>
    <t>Tom Jack</t>
  </si>
  <si>
    <t>Joao Sivla</t>
  </si>
  <si>
    <t>ADVANCED LOOKUP &amp; REFERENCE FUNCTION</t>
  </si>
  <si>
    <t>XLOOKUP: Multiple Rows &amp; Search Order</t>
  </si>
  <si>
    <t xml:space="preserve"> </t>
  </si>
  <si>
    <t>XLOOKUP: Search Order (Largest Order)</t>
  </si>
  <si>
    <t>23-01-2020</t>
  </si>
  <si>
    <t>09-12-2024</t>
  </si>
  <si>
    <t>12-04-2020</t>
  </si>
  <si>
    <t>29-06-2019</t>
  </si>
  <si>
    <t>15-10-2020</t>
  </si>
  <si>
    <t>19-02-2018</t>
  </si>
  <si>
    <t>11-09-2023</t>
  </si>
  <si>
    <t>01-02-2021</t>
  </si>
  <si>
    <t>25-01-2020</t>
  </si>
  <si>
    <t>02-12-2024</t>
  </si>
  <si>
    <t>10-04-2020</t>
  </si>
  <si>
    <t>: This row is not in the table but it found the next large number</t>
  </si>
  <si>
    <t>: This row is found in the table so it was returned</t>
  </si>
  <si>
    <t>Sort Order: From first to last</t>
  </si>
  <si>
    <t>Name</t>
  </si>
  <si>
    <t>XLOOKUP: Search Order using an asterik (*)</t>
  </si>
  <si>
    <t>XLOOKUP: Horizontal Search</t>
  </si>
  <si>
    <t>Burger</t>
  </si>
  <si>
    <t>Chicken</t>
  </si>
  <si>
    <t>October</t>
  </si>
  <si>
    <t>November</t>
  </si>
  <si>
    <t>December</t>
  </si>
  <si>
    <t>September</t>
  </si>
  <si>
    <t>: Here, the asterik (*) is placed after the last name cell reference</t>
  </si>
  <si>
    <t>: Here, the asterik (*) is placed after the first name cell reference</t>
  </si>
  <si>
    <t>XLOOKUP + SUM FUNCTIONS</t>
  </si>
  <si>
    <t>linda john</t>
  </si>
  <si>
    <t>PAbLO PerEZ</t>
  </si>
  <si>
    <t>November-December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</si>
</sst>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yyyy/mm/dd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Segoe UI Semibold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left"/>
    </xf>
    <xf numFmtId="0" fontId="0" fillId="34" borderId="0" xfId="0" applyFill="1"/>
    <xf numFmtId="0" fontId="21" fillId="34" borderId="11" xfId="0" applyFont="1" applyFill="1" applyBorder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21" fillId="34" borderId="0" xfId="0" applyFont="1" applyFill="1"/>
    <xf numFmtId="0" fontId="16" fillId="0" borderId="0" xfId="0" applyFont="1"/>
    <xf numFmtId="164" fontId="0" fillId="0" borderId="0" xfId="0" applyNumberFormat="1"/>
    <xf numFmtId="0" fontId="0" fillId="36" borderId="0" xfId="0" applyFill="1"/>
    <xf numFmtId="164" fontId="0" fillId="36" borderId="0" xfId="42" applyNumberFormat="1" applyFont="1" applyFill="1"/>
    <xf numFmtId="14" fontId="0" fillId="36" borderId="0" xfId="0" applyNumberFormat="1" applyFill="1"/>
    <xf numFmtId="0" fontId="17" fillId="35" borderId="0" xfId="0" applyFont="1" applyFill="1"/>
    <xf numFmtId="165" fontId="0" fillId="0" borderId="0" xfId="0" applyNumberFormat="1"/>
    <xf numFmtId="0" fontId="17" fillId="33" borderId="14" xfId="0" applyFont="1" applyFill="1" applyBorder="1"/>
    <xf numFmtId="165" fontId="17" fillId="33" borderId="14" xfId="0" applyNumberFormat="1" applyFont="1" applyFill="1" applyBorder="1"/>
    <xf numFmtId="164" fontId="17" fillId="33" borderId="14" xfId="42" applyNumberFormat="1" applyFont="1" applyFill="1" applyBorder="1"/>
    <xf numFmtId="0" fontId="19" fillId="35" borderId="0" xfId="0" applyFont="1" applyFill="1"/>
    <xf numFmtId="0" fontId="0" fillId="0" borderId="0" xfId="0" pivotButton="1"/>
    <xf numFmtId="0" fontId="0" fillId="37" borderId="0" xfId="0" applyFill="1" applyAlignment="1">
      <alignment horizontal="center"/>
    </xf>
    <xf numFmtId="0" fontId="0" fillId="37" borderId="0" xfId="0" applyFill="1"/>
    <xf numFmtId="0" fontId="0" fillId="37" borderId="15" xfId="0" applyFill="1" applyBorder="1" applyAlignment="1">
      <alignment horizontal="center"/>
    </xf>
    <xf numFmtId="0" fontId="0" fillId="37" borderId="0" xfId="0" applyFill="1" applyAlignment="1">
      <alignment vertical="top" wrapText="1"/>
    </xf>
    <xf numFmtId="0" fontId="0" fillId="37" borderId="0" xfId="0" applyFill="1" applyAlignment="1">
      <alignment wrapText="1"/>
    </xf>
    <xf numFmtId="0" fontId="24" fillId="35" borderId="0" xfId="0" applyFont="1" applyFill="1"/>
    <xf numFmtId="0" fontId="21" fillId="35" borderId="0" xfId="0" applyFont="1" applyFill="1" applyAlignment="1">
      <alignment horizontal="center"/>
    </xf>
    <xf numFmtId="0" fontId="21" fillId="35" borderId="14" xfId="0" applyFont="1" applyFill="1" applyBorder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21" fillId="35" borderId="0" xfId="0" applyFont="1" applyFill="1"/>
    <xf numFmtId="0" fontId="0" fillId="35" borderId="14" xfId="0" applyFill="1" applyBorder="1"/>
    <xf numFmtId="0" fontId="19" fillId="35" borderId="14" xfId="0" applyFont="1" applyFill="1" applyBorder="1"/>
    <xf numFmtId="0" fontId="0" fillId="37" borderId="13" xfId="0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0" fillId="37" borderId="0" xfId="0" applyFill="1" applyAlignment="1">
      <alignment horizontal="center"/>
    </xf>
    <xf numFmtId="0" fontId="17" fillId="34" borderId="10" xfId="0" applyFont="1" applyFill="1" applyBorder="1" applyAlignment="1">
      <alignment horizontal="center"/>
    </xf>
    <xf numFmtId="0" fontId="22" fillId="33" borderId="0" xfId="0" applyFont="1" applyFill="1" applyAlignment="1">
      <alignment horizontal="center"/>
    </xf>
    <xf numFmtId="0" fontId="21" fillId="34" borderId="0" xfId="0" applyFont="1" applyFill="1" applyAlignment="1">
      <alignment horizontal="center"/>
    </xf>
    <xf numFmtId="0" fontId="25" fillId="34" borderId="0" xfId="0" applyFont="1" applyFill="1" applyAlignment="1">
      <alignment horizontal="center"/>
    </xf>
    <xf numFmtId="0" fontId="24" fillId="37" borderId="0" xfId="0" applyFont="1" applyFill="1" applyAlignment="1">
      <alignment horizontal="center"/>
    </xf>
    <xf numFmtId="0" fontId="16" fillId="37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23" fillId="33" borderId="11" xfId="0" applyFont="1" applyFill="1" applyBorder="1" applyAlignment="1">
      <alignment horizontal="center"/>
    </xf>
    <xf numFmtId="0" fontId="19" fillId="33" borderId="0" xfId="0" applyFont="1" applyFill="1" applyAlignment="1">
      <alignment horizontal="center"/>
    </xf>
    <xf numFmtId="0" fontId="26" fillId="33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" formatCode="0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Basic - Advanced Proficiency Project.xlsx]PIVOT!CityPivotTBL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Revenue</a:t>
            </a:r>
            <a:r>
              <a:rPr lang="en-US" baseline="0"/>
              <a:t>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PIVOT!$A$3:$A$8</c:f>
              <c:strCache>
                <c:ptCount val="5"/>
                <c:pt idx="0">
                  <c:v>Lisbon</c:v>
                </c:pt>
                <c:pt idx="1">
                  <c:v>London</c:v>
                </c:pt>
                <c:pt idx="2">
                  <c:v>Madrid</c:v>
                </c:pt>
                <c:pt idx="3">
                  <c:v>Berlin</c:v>
                </c:pt>
                <c:pt idx="4">
                  <c:v>Paris</c:v>
                </c:pt>
              </c:strCache>
            </c:strRef>
          </c:cat>
          <c:val>
            <c:numRef>
              <c:f>PIVOT!$B$3:$B$8</c:f>
              <c:numCache>
                <c:formatCode>"$"#,##0.00</c:formatCode>
                <c:ptCount val="5"/>
                <c:pt idx="0">
                  <c:v>546.62000000000012</c:v>
                </c:pt>
                <c:pt idx="1">
                  <c:v>521.05000000000007</c:v>
                </c:pt>
                <c:pt idx="2">
                  <c:v>331.82000000000005</c:v>
                </c:pt>
                <c:pt idx="3">
                  <c:v>206.22</c:v>
                </c:pt>
                <c:pt idx="4">
                  <c:v>198.28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0-474B-829B-171762A27603}"/>
            </c:ext>
          </c:extLst>
        </c:ser>
        <c:ser>
          <c:idx val="1"/>
          <c:order val="1"/>
          <c:tx>
            <c:strRef>
              <c:f>PIVOT!$C$2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PIVOT!$A$3:$A$8</c:f>
              <c:strCache>
                <c:ptCount val="5"/>
                <c:pt idx="0">
                  <c:v>Lisbon</c:v>
                </c:pt>
                <c:pt idx="1">
                  <c:v>London</c:v>
                </c:pt>
                <c:pt idx="2">
                  <c:v>Madrid</c:v>
                </c:pt>
                <c:pt idx="3">
                  <c:v>Berlin</c:v>
                </c:pt>
                <c:pt idx="4">
                  <c:v>Paris</c:v>
                </c:pt>
              </c:strCache>
            </c:strRef>
          </c:cat>
          <c:val>
            <c:numRef>
              <c:f>PIVOT!$C$3:$C$8</c:f>
              <c:numCache>
                <c:formatCode>General</c:formatCode>
                <c:ptCount val="5"/>
                <c:pt idx="0">
                  <c:v>75</c:v>
                </c:pt>
                <c:pt idx="1">
                  <c:v>75</c:v>
                </c:pt>
                <c:pt idx="2">
                  <c:v>46</c:v>
                </c:pt>
                <c:pt idx="3">
                  <c:v>30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40-474B-829B-171762A27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overlap val="100"/>
        <c:axId val="586889248"/>
        <c:axId val="513254480"/>
      </c:barChart>
      <c:catAx>
        <c:axId val="58688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54480"/>
        <c:crosses val="autoZero"/>
        <c:auto val="1"/>
        <c:lblAlgn val="ctr"/>
        <c:lblOffset val="100"/>
        <c:noMultiLvlLbl val="0"/>
      </c:catAx>
      <c:valAx>
        <c:axId val="51325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Price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889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Basic - Advanced Proficiency Project.xlsx]PIVOT!PivotTable2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Price by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PIVOT!$A$22:$A$27</c:f>
              <c:strCache>
                <c:ptCount val="5"/>
                <c:pt idx="0">
                  <c:v>Burgers</c:v>
                </c:pt>
                <c:pt idx="1">
                  <c:v>Chicken Sandwiches</c:v>
                </c:pt>
                <c:pt idx="2">
                  <c:v>Sides &amp; Other</c:v>
                </c:pt>
                <c:pt idx="3">
                  <c:v>Fries</c:v>
                </c:pt>
                <c:pt idx="4">
                  <c:v>Beverages</c:v>
                </c:pt>
              </c:strCache>
            </c:strRef>
          </c:cat>
          <c:val>
            <c:numRef>
              <c:f>PIVOT!$B$22:$B$27</c:f>
              <c:numCache>
                <c:formatCode>0.00</c:formatCode>
                <c:ptCount val="5"/>
                <c:pt idx="0">
                  <c:v>12.990000000000007</c:v>
                </c:pt>
                <c:pt idx="1">
                  <c:v>10.317307692307686</c:v>
                </c:pt>
                <c:pt idx="2">
                  <c:v>4.9900000000000029</c:v>
                </c:pt>
                <c:pt idx="3">
                  <c:v>3.9215686274509824</c:v>
                </c:pt>
                <c:pt idx="4">
                  <c:v>2.95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5-4F9B-881E-CABB28794D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"/>
        <c:overlap val="-27"/>
        <c:axId val="468246960"/>
        <c:axId val="682070512"/>
      </c:barChart>
      <c:catAx>
        <c:axId val="468246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070512"/>
        <c:crosses val="autoZero"/>
        <c:auto val="1"/>
        <c:lblAlgn val="ctr"/>
        <c:lblOffset val="100"/>
        <c:noMultiLvlLbl val="0"/>
      </c:catAx>
      <c:valAx>
        <c:axId val="68207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24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Basic - Advanced Proficiency Project.xlsx]PIVOT!PivotTable4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Quantity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PIVOT!$P$3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D68-447C-9836-AFD01342750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51-4DBC-BC75-2DFE2DA1D2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C51-4DBC-BC75-2DFE2DA1D20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C51-4DBC-BC75-2DFE2DA1D20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C51-4DBC-BC75-2DFE2DA1D2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PIVOT!$O$4:$O$9</c:f>
              <c:strCache>
                <c:ptCount val="5"/>
                <c:pt idx="0">
                  <c:v>Beverages</c:v>
                </c:pt>
                <c:pt idx="1">
                  <c:v>Fries</c:v>
                </c:pt>
                <c:pt idx="2">
                  <c:v>Burgers</c:v>
                </c:pt>
                <c:pt idx="3">
                  <c:v>Chicken Sandwiches</c:v>
                </c:pt>
                <c:pt idx="4">
                  <c:v>Sides &amp; Other</c:v>
                </c:pt>
              </c:strCache>
            </c:strRef>
          </c:cat>
          <c:val>
            <c:numRef>
              <c:f>PIVOT!$P$4:$P$9</c:f>
              <c:numCache>
                <c:formatCode>0</c:formatCode>
                <c:ptCount val="5"/>
                <c:pt idx="0">
                  <c:v>34983.140000000007</c:v>
                </c:pt>
                <c:pt idx="1">
                  <c:v>32034.339999999986</c:v>
                </c:pt>
                <c:pt idx="2">
                  <c:v>29022.309999999994</c:v>
                </c:pt>
                <c:pt idx="3">
                  <c:v>11135.920000000002</c:v>
                </c:pt>
                <c:pt idx="4">
                  <c:v>9819.5999999999913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8-447C-9836-AFD0134275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0</xdr:row>
      <xdr:rowOff>9525</xdr:rowOff>
    </xdr:from>
    <xdr:to>
      <xdr:col>10</xdr:col>
      <xdr:colOff>847726</xdr:colOff>
      <xdr:row>18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17BBD-2D6C-DB37-B8E5-53EEF914B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500061</xdr:colOff>
      <xdr:row>18</xdr:row>
      <xdr:rowOff>128587</xdr:rowOff>
    </xdr:from>
    <xdr:to>
      <xdr:col>10</xdr:col>
      <xdr:colOff>819149</xdr:colOff>
      <xdr:row>35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D7A136-E2CD-5239-4CD1-0B2345953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1233487</xdr:colOff>
      <xdr:row>3</xdr:row>
      <xdr:rowOff>76200</xdr:rowOff>
    </xdr:from>
    <xdr:to>
      <xdr:col>15</xdr:col>
      <xdr:colOff>833437</xdr:colOff>
      <xdr:row>23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9A6BEF-FBBD-3EFB-42EB-23C4418F8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danee" refreshedDate="45955.74166446759" createdVersion="8" refreshedVersion="8" minRefreshableVersion="3" recordCount="254" xr:uid="{61157CC5-CB7E-4591-B612-4EB84B77ACC7}">
  <cacheSource type="worksheet">
    <worksheetSource ref="A1:I255" sheet=" Sales-Data"/>
  </cacheSource>
  <cacheFields count="9">
    <cacheField name="Order ID" numFmtId="0">
      <sharedItems containsSemiMixedTypes="0" containsString="0" containsNumber="1" containsInteger="1" minValue="10452" maxValue="10713"/>
    </cacheField>
    <cacheField name="Date" numFmtId="14">
      <sharedItems/>
    </cacheField>
    <cacheField name="Product" numFmtId="0">
      <sharedItems count="5">
        <s v="Fries"/>
        <s v="Beverages"/>
        <s v="Sides &amp; Other"/>
        <s v="Burgers"/>
        <s v="Chicken Sandwiches"/>
      </sharedItems>
    </cacheField>
    <cacheField name="Price" numFmtId="0">
      <sharedItems containsSemiMixedTypes="0" containsString="0" containsNumber="1" minValue="2.95" maxValue="29.05"/>
    </cacheField>
    <cacheField name="Quantity" numFmtId="0">
      <sharedItems containsSemiMixedTypes="0" containsString="0" containsNumber="1" minValue="200.4" maxValue="754.43"/>
    </cacheField>
    <cacheField name="Purchase Type" numFmtId="0">
      <sharedItems/>
    </cacheField>
    <cacheField name="Payment Method" numFmtId="0">
      <sharedItems/>
    </cacheField>
    <cacheField name="Manager" numFmtId="0">
      <sharedItems/>
    </cacheField>
    <cacheField name="City" numFmtId="0">
      <sharedItems count="5">
        <s v="London"/>
        <s v="Madrid"/>
        <s v="Lisbon"/>
        <s v="Berlin"/>
        <s v="Pari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n v="10452"/>
    <s v="07-11-2022"/>
    <x v="0"/>
    <n v="3.49"/>
    <n v="573.07000000000005"/>
    <s v="Online "/>
    <s v=" Gift Card"/>
    <s v="Tom      Jackson"/>
    <x v="0"/>
  </r>
  <r>
    <n v="10453"/>
    <s v="07-11-2022"/>
    <x v="1"/>
    <n v="2.95"/>
    <n v="745.76"/>
    <s v="Online "/>
    <s v=" Gift Card"/>
    <s v="       Pablo Perez"/>
    <x v="1"/>
  </r>
  <r>
    <n v="10454"/>
    <s v="07-11-2022"/>
    <x v="2"/>
    <n v="4.99"/>
    <n v="200.4"/>
    <s v="In-store "/>
    <s v=" Gift Card"/>
    <s v="Joao    Silva"/>
    <x v="2"/>
  </r>
  <r>
    <n v="10455"/>
    <s v="08-11-2022"/>
    <x v="3"/>
    <n v="12.99"/>
    <n v="569.66999999999996"/>
    <s v="In-store "/>
    <s v=" Credit Card"/>
    <s v="Walter Muller"/>
    <x v="3"/>
  </r>
  <r>
    <n v="10456"/>
    <s v="08-11-2022"/>
    <x v="4"/>
    <n v="9.9499999999999993"/>
    <n v="201.01"/>
    <s v="In-store "/>
    <s v=" Credit Card"/>
    <s v="Walter Muller"/>
    <x v="3"/>
  </r>
  <r>
    <n v="10457"/>
    <s v="08-11-2022"/>
    <x v="0"/>
    <n v="3.49"/>
    <n v="573.07000000000005"/>
    <s v="In-store "/>
    <s v=" Credit Card"/>
    <s v="Remy    Monet"/>
    <x v="4"/>
  </r>
  <r>
    <n v="10459"/>
    <s v="08-11-2022"/>
    <x v="2"/>
    <n v="4.99"/>
    <n v="200.4"/>
    <s v="In-store "/>
    <s v=" Credit Card"/>
    <s v="Walter Muller"/>
    <x v="3"/>
  </r>
  <r>
    <n v="10460"/>
    <s v="09-11-2022"/>
    <x v="3"/>
    <n v="12.99"/>
    <n v="554.27"/>
    <s v="In-store "/>
    <s v=" Credit Card"/>
    <s v="Remy Monet"/>
    <x v="4"/>
  </r>
  <r>
    <n v="10461"/>
    <s v="09-11-2022"/>
    <x v="4"/>
    <n v="9.9499999999999993"/>
    <n v="201.01"/>
    <s v="In-store "/>
    <s v=" Credit Card"/>
    <s v="Remy Monet"/>
    <x v="4"/>
  </r>
  <r>
    <n v="10462"/>
    <s v="09-11-2022"/>
    <x v="0"/>
    <n v="3.49"/>
    <n v="573.07000000000005"/>
    <s v="In-store "/>
    <s v=" Credit Card"/>
    <s v="       Remy Monet"/>
    <x v="4"/>
  </r>
  <r>
    <n v="10463"/>
    <s v="09-11-2022"/>
    <x v="1"/>
    <n v="2.95"/>
    <n v="677.97"/>
    <s v="In-store "/>
    <s v=" Credit Card"/>
    <s v="       Remy Monet"/>
    <x v="4"/>
  </r>
  <r>
    <n v="10464"/>
    <s v="09-11-2022"/>
    <x v="2"/>
    <n v="4.99"/>
    <n v="200.4"/>
    <s v="In-store "/>
    <s v=" Credit Card"/>
    <s v="Remy     Monet"/>
    <x v="4"/>
  </r>
  <r>
    <n v="10465"/>
    <s v="10-11-2022"/>
    <x v="3"/>
    <n v="12.99"/>
    <n v="554.27"/>
    <s v="In-store "/>
    <s v=" Credit Card"/>
    <s v="Pablo Perez"/>
    <x v="1"/>
  </r>
  <r>
    <n v="10466"/>
    <s v="10-11-2022"/>
    <x v="4"/>
    <n v="9.9499999999999993"/>
    <n v="201.01"/>
    <s v="In-store "/>
    <s v=" Credit Card"/>
    <s v="Pablo Perez"/>
    <x v="1"/>
  </r>
  <r>
    <n v="10467"/>
    <s v="10-11-2022"/>
    <x v="0"/>
    <n v="3.49"/>
    <n v="573.07000000000005"/>
    <s v="In-store "/>
    <s v=" Credit Card"/>
    <s v="Pablo Perez"/>
    <x v="1"/>
  </r>
  <r>
    <n v="10468"/>
    <s v="10-11-2022"/>
    <x v="1"/>
    <n v="2.95"/>
    <n v="677.97"/>
    <s v="In-store "/>
    <s v=" Credit Card"/>
    <s v="       Pablo Perez"/>
    <x v="1"/>
  </r>
  <r>
    <n v="10470"/>
    <s v="11-11-2022"/>
    <x v="3"/>
    <n v="12.99"/>
    <n v="554.27"/>
    <s v="In-store "/>
    <s v=" Credit Card"/>
    <s v="       Pablo Perez"/>
    <x v="1"/>
  </r>
  <r>
    <n v="10471"/>
    <s v="11-11-2022"/>
    <x v="4"/>
    <n v="9.9499999999999993"/>
    <n v="201.01"/>
    <s v="In-store "/>
    <s v=" Credit Card"/>
    <s v="       Pablo Perez"/>
    <x v="1"/>
  </r>
  <r>
    <n v="10472"/>
    <s v="11-11-2022"/>
    <x v="0"/>
    <n v="3.49"/>
    <n v="630.37"/>
    <s v="In-store "/>
    <s v=" Credit Card"/>
    <s v="Pablo   Perez"/>
    <x v="1"/>
  </r>
  <r>
    <n v="10473"/>
    <s v="11-11-2022"/>
    <x v="1"/>
    <n v="2.95"/>
    <n v="677.97"/>
    <s v="In-store "/>
    <s v=" Credit Card"/>
    <s v="       Pablo Perez"/>
    <x v="1"/>
  </r>
  <r>
    <n v="10474"/>
    <s v="11-11-2022"/>
    <x v="2"/>
    <n v="4.99"/>
    <n v="200.4"/>
    <s v="In-store "/>
    <s v=" Credit Card"/>
    <s v="       Pablo Perez"/>
    <x v="1"/>
  </r>
  <r>
    <n v="10475"/>
    <s v="12-11-2022"/>
    <x v="3"/>
    <n v="12.99"/>
    <n v="523.48"/>
    <s v="In-store "/>
    <s v=" Credit Card"/>
    <s v="       Pablo Perez"/>
    <x v="1"/>
  </r>
  <r>
    <n v="10476"/>
    <s v="12-11-2022"/>
    <x v="4"/>
    <n v="9.9499999999999993"/>
    <n v="201.01"/>
    <s v="In-store "/>
    <s v=" Credit Card"/>
    <s v="Pablo Perez"/>
    <x v="1"/>
  </r>
  <r>
    <n v="10477"/>
    <s v="12-11-2022"/>
    <x v="0"/>
    <n v="3.49"/>
    <n v="630.37"/>
    <s v="In-store "/>
    <s v=" Credit Card"/>
    <s v="Pablo  Perez"/>
    <x v="1"/>
  </r>
  <r>
    <n v="10478"/>
    <s v="12-11-2022"/>
    <x v="1"/>
    <n v="2.95"/>
    <n v="677.97"/>
    <s v="In-store "/>
    <s v=" Credit Card"/>
    <s v="Pablo Perez"/>
    <x v="1"/>
  </r>
  <r>
    <n v="10479"/>
    <s v="12-11-2022"/>
    <x v="2"/>
    <n v="4.99"/>
    <n v="200.4"/>
    <s v="In-store "/>
    <s v=" Credit Card"/>
    <s v="Pablo    Perez"/>
    <x v="1"/>
  </r>
  <r>
    <n v="10480"/>
    <s v="13-11-2022"/>
    <x v="3"/>
    <n v="12.99"/>
    <n v="508.08"/>
    <s v="In-store "/>
    <s v=" Credit Card"/>
    <s v="Pablo Perez"/>
    <x v="1"/>
  </r>
  <r>
    <n v="10481"/>
    <s v="13-11-2022"/>
    <x v="4"/>
    <n v="9.9499999999999993"/>
    <n v="201.01"/>
    <s v="In-store "/>
    <s v=" Credit Card"/>
    <s v="Pablo Perez"/>
    <x v="1"/>
  </r>
  <r>
    <n v="10482"/>
    <s v="13-11-2022"/>
    <x v="0"/>
    <n v="25.5"/>
    <n v="630.37"/>
    <s v="In-store "/>
    <s v=" Credit Card"/>
    <s v="Joao Silva"/>
    <x v="2"/>
  </r>
  <r>
    <n v="10486"/>
    <s v="14-11-2022"/>
    <x v="4"/>
    <n v="29.05"/>
    <n v="201.01"/>
    <s v="In-store "/>
    <s v=" Credit Card"/>
    <s v="Joao    Silva"/>
    <x v="2"/>
  </r>
  <r>
    <n v="10487"/>
    <s v="14-11-2022"/>
    <x v="0"/>
    <n v="3.49"/>
    <n v="630.37"/>
    <s v="In-store "/>
    <s v=" Credit Card"/>
    <s v="Joao Silva"/>
    <x v="2"/>
  </r>
  <r>
    <n v="10488"/>
    <s v="14-11-2022"/>
    <x v="1"/>
    <n v="2.95"/>
    <n v="677.97"/>
    <s v="In-store "/>
    <s v=" Credit Card"/>
    <s v="Joao Silva"/>
    <x v="2"/>
  </r>
  <r>
    <n v="10489"/>
    <s v="14-11-2022"/>
    <x v="2"/>
    <n v="4.99"/>
    <n v="200.4"/>
    <s v="In-store "/>
    <s v=" Credit Card"/>
    <s v="Pablo Perez"/>
    <x v="1"/>
  </r>
  <r>
    <n v="10490"/>
    <s v="15-11-2022"/>
    <x v="3"/>
    <n v="12.99"/>
    <n v="508.08"/>
    <s v="In-store "/>
    <s v=" Credit Card"/>
    <s v="Pablo Perez"/>
    <x v="1"/>
  </r>
  <r>
    <n v="10491"/>
    <s v="15-11-2022"/>
    <x v="4"/>
    <n v="9.9499999999999993"/>
    <n v="201.01"/>
    <s v="In-store "/>
    <s v=" Credit Card"/>
    <s v="Pablo Perez"/>
    <x v="1"/>
  </r>
  <r>
    <n v="10492"/>
    <s v="15-11-2022"/>
    <x v="0"/>
    <n v="3.49"/>
    <n v="573.07000000000005"/>
    <s v="In-store "/>
    <s v=" Credit Card"/>
    <s v="Pablo Perez"/>
    <x v="1"/>
  </r>
  <r>
    <n v="10493"/>
    <s v="15-11-2022"/>
    <x v="1"/>
    <n v="2.95"/>
    <n v="677.97"/>
    <s v="In-store "/>
    <s v=" Credit Card"/>
    <s v="Pablo Perez"/>
    <x v="1"/>
  </r>
  <r>
    <n v="10494"/>
    <s v="15-11-2022"/>
    <x v="2"/>
    <n v="4.99"/>
    <n v="200.4"/>
    <s v="In-store "/>
    <s v=" Credit Card"/>
    <s v="Pablo Perez"/>
    <x v="1"/>
  </r>
  <r>
    <n v="10495"/>
    <s v="16-11-2022"/>
    <x v="3"/>
    <n v="12.99"/>
    <n v="508.08"/>
    <s v="In-store "/>
    <s v=" Credit Card"/>
    <s v="Pablo Perez"/>
    <x v="1"/>
  </r>
  <r>
    <n v="10496"/>
    <s v="16-11-2022"/>
    <x v="4"/>
    <n v="9.9499999999999993"/>
    <n v="201.01"/>
    <s v="In-store "/>
    <s v=" Credit Card"/>
    <s v="Pablo Perez"/>
    <x v="1"/>
  </r>
  <r>
    <n v="10497"/>
    <s v="16-11-2022"/>
    <x v="0"/>
    <n v="3.49"/>
    <n v="573.07000000000005"/>
    <s v="In-store "/>
    <s v=" Credit Card"/>
    <s v="Pablo Perez"/>
    <x v="1"/>
  </r>
  <r>
    <n v="10498"/>
    <s v="16-11-2022"/>
    <x v="1"/>
    <n v="2.95"/>
    <n v="677.97"/>
    <s v="Drive-thru "/>
    <s v=" Credit Card"/>
    <s v="Pablo Perez"/>
    <x v="1"/>
  </r>
  <r>
    <n v="10499"/>
    <s v="16-11-2022"/>
    <x v="2"/>
    <n v="4.99"/>
    <n v="200.4"/>
    <s v="Drive-thru "/>
    <s v=" Credit Card"/>
    <s v="Pablo Perez"/>
    <x v="1"/>
  </r>
  <r>
    <n v="10500"/>
    <s v="17-11-2022"/>
    <x v="3"/>
    <n v="12.99"/>
    <n v="523.48"/>
    <s v="Drive-thru "/>
    <s v=" Credit Card"/>
    <s v="Pablo Perez"/>
    <x v="1"/>
  </r>
  <r>
    <n v="10501"/>
    <s v="17-11-2022"/>
    <x v="4"/>
    <n v="9.9499999999999993"/>
    <n v="201.01"/>
    <s v="Drive-thru "/>
    <s v=" Credit Card"/>
    <s v="Pablo Perez"/>
    <x v="1"/>
  </r>
  <r>
    <n v="10502"/>
    <s v="17-11-2022"/>
    <x v="0"/>
    <n v="3.49"/>
    <n v="630.37"/>
    <s v="Drive-thru "/>
    <s v=" Credit Card"/>
    <s v="Pablo Perez"/>
    <x v="1"/>
  </r>
  <r>
    <n v="10503"/>
    <s v="17-11-2022"/>
    <x v="1"/>
    <n v="2.95"/>
    <n v="677.97"/>
    <s v="Drive-thru "/>
    <s v=" Credit Card"/>
    <s v="Pablo Perez"/>
    <x v="1"/>
  </r>
  <r>
    <n v="10504"/>
    <s v="17-11-2022"/>
    <x v="2"/>
    <n v="4.99"/>
    <n v="200.4"/>
    <s v="Drive-thru "/>
    <s v=" Credit Card"/>
    <s v="Pablo Perez"/>
    <x v="1"/>
  </r>
  <r>
    <n v="10505"/>
    <s v="18-11-2022"/>
    <x v="3"/>
    <n v="12.99"/>
    <n v="538.88"/>
    <s v="Drive-thru "/>
    <s v=" Credit Card"/>
    <s v="Pablo Perez"/>
    <x v="1"/>
  </r>
  <r>
    <n v="10506"/>
    <s v="18-11-2022"/>
    <x v="4"/>
    <n v="9.9499999999999993"/>
    <n v="201.01"/>
    <s v="Drive-thru "/>
    <s v=" Credit Card"/>
    <s v="Pablo Perez"/>
    <x v="1"/>
  </r>
  <r>
    <n v="10507"/>
    <s v="18-11-2022"/>
    <x v="0"/>
    <n v="3.49"/>
    <n v="687.68"/>
    <s v="Drive-thru "/>
    <s v=" Credit Card"/>
    <s v="Pablo Perez"/>
    <x v="1"/>
  </r>
  <r>
    <n v="10508"/>
    <s v="18-11-2022"/>
    <x v="1"/>
    <n v="2.95"/>
    <n v="677.97"/>
    <s v="Drive-thru "/>
    <s v=" Credit Card"/>
    <s v="Pablo Perez"/>
    <x v="1"/>
  </r>
  <r>
    <n v="10509"/>
    <s v="18-11-2022"/>
    <x v="2"/>
    <n v="4.99"/>
    <n v="200.4"/>
    <s v="Drive-thru "/>
    <s v=" Credit Card"/>
    <s v="Pablo Perez"/>
    <x v="1"/>
  </r>
  <r>
    <n v="10510"/>
    <s v="19-11-2022"/>
    <x v="3"/>
    <n v="12.99"/>
    <n v="508.08"/>
    <s v="Drive-thru "/>
    <s v=" Credit Card"/>
    <s v="Pablo Perez"/>
    <x v="1"/>
  </r>
  <r>
    <n v="10511"/>
    <s v="19-11-2022"/>
    <x v="4"/>
    <n v="9.9499999999999993"/>
    <n v="201.01"/>
    <s v="Drive-thru "/>
    <s v=" Credit Card"/>
    <s v="Joao Silva"/>
    <x v="2"/>
  </r>
  <r>
    <n v="10512"/>
    <s v="19-11-2022"/>
    <x v="0"/>
    <n v="3.49"/>
    <n v="687.68"/>
    <s v="Drive-thru "/>
    <s v=" Credit Card"/>
    <s v="Joao Silva"/>
    <x v="2"/>
  </r>
  <r>
    <n v="10513"/>
    <s v="19-11-2022"/>
    <x v="1"/>
    <n v="2.95"/>
    <n v="677.97"/>
    <s v="Drive-thru "/>
    <s v=" Cash"/>
    <s v="Joao Silva"/>
    <x v="2"/>
  </r>
  <r>
    <n v="10514"/>
    <s v="19-11-2022"/>
    <x v="2"/>
    <n v="4.99"/>
    <n v="200.4"/>
    <s v="Drive-thru "/>
    <s v=" Cash"/>
    <s v="Joao Silva"/>
    <x v="2"/>
  </r>
  <r>
    <n v="10515"/>
    <s v="20-11-2022"/>
    <x v="3"/>
    <n v="12.99"/>
    <n v="477.29"/>
    <s v="Drive-thru "/>
    <s v=" Cash"/>
    <s v="Joao Silva"/>
    <x v="2"/>
  </r>
  <r>
    <n v="10516"/>
    <s v="20-11-2022"/>
    <x v="4"/>
    <n v="9.9499999999999993"/>
    <n v="201.01"/>
    <s v="Drive-thru "/>
    <s v=" Cash"/>
    <s v="Joao Silva"/>
    <x v="2"/>
  </r>
  <r>
    <n v="10483"/>
    <s v="13-11-2022"/>
    <x v="1"/>
    <n v="2.95"/>
    <n v="677.97"/>
    <s v="In-store "/>
    <s v=" Credit Card"/>
    <s v="Joao    Silva"/>
    <x v="2"/>
  </r>
  <r>
    <n v="10484"/>
    <s v="13-11-2022"/>
    <x v="2"/>
    <n v="4.99"/>
    <n v="200.4"/>
    <s v="In-store "/>
    <s v=" Credit Card"/>
    <s v="Joao    Silva"/>
    <x v="2"/>
  </r>
  <r>
    <n v="10485"/>
    <s v="14-11-2022"/>
    <x v="3"/>
    <n v="12.99"/>
    <n v="523.48"/>
    <s v="In-store "/>
    <s v=" Credit Card"/>
    <s v="Joao    Silva"/>
    <x v="2"/>
  </r>
  <r>
    <n v="10520"/>
    <s v="21-11-2022"/>
    <x v="3"/>
    <n v="12.99"/>
    <n v="492.69"/>
    <s v="Drive-thru "/>
    <s v=" Cash"/>
    <s v="Remy Monet"/>
    <x v="4"/>
  </r>
  <r>
    <n v="10521"/>
    <s v="21-11-2022"/>
    <x v="4"/>
    <n v="9.9499999999999993"/>
    <n v="201.01"/>
    <s v="Drive-thru "/>
    <s v=" Cash"/>
    <s v="Remy Monet"/>
    <x v="4"/>
  </r>
  <r>
    <n v="10522"/>
    <s v="21-11-2022"/>
    <x v="0"/>
    <n v="3.49"/>
    <n v="687.68"/>
    <s v="Drive-thru "/>
    <s v=" Cash"/>
    <s v="Remy Monet"/>
    <x v="4"/>
  </r>
  <r>
    <n v="10523"/>
    <s v="21-11-2022"/>
    <x v="1"/>
    <n v="2.95"/>
    <n v="745.76"/>
    <s v="Drive-thru "/>
    <s v=" Cash"/>
    <s v="Remy Monet"/>
    <x v="4"/>
  </r>
  <r>
    <n v="10524"/>
    <s v="21-11-2022"/>
    <x v="2"/>
    <n v="4.99"/>
    <n v="200.4"/>
    <s v="Drive-thru "/>
    <s v=" Cash"/>
    <s v="Remy Monet"/>
    <x v="4"/>
  </r>
  <r>
    <n v="10525"/>
    <s v="22-11-2022"/>
    <x v="3"/>
    <n v="12.99"/>
    <n v="461.89"/>
    <s v="Drive-thru "/>
    <s v=" Cash"/>
    <s v="Remy Monet"/>
    <x v="4"/>
  </r>
  <r>
    <n v="10526"/>
    <s v="22-11-2022"/>
    <x v="4"/>
    <n v="9.9499999999999993"/>
    <n v="201.01"/>
    <s v="Drive-thru "/>
    <s v=" Cash"/>
    <s v="Remy Monet"/>
    <x v="4"/>
  </r>
  <r>
    <n v="10527"/>
    <s v="22-11-2022"/>
    <x v="0"/>
    <n v="3.49"/>
    <n v="687.68"/>
    <s v="Drive-thru "/>
    <s v=" Cash"/>
    <s v="Remy Monet"/>
    <x v="4"/>
  </r>
  <r>
    <n v="10528"/>
    <s v="22-11-2022"/>
    <x v="1"/>
    <n v="2.95"/>
    <n v="745.76"/>
    <s v="Drive-thru "/>
    <s v=" Cash"/>
    <s v="Remy Monet"/>
    <x v="4"/>
  </r>
  <r>
    <n v="10529"/>
    <s v="22-11-2022"/>
    <x v="2"/>
    <n v="4.99"/>
    <n v="200.4"/>
    <s v="Drive-thru "/>
    <s v=" Cash"/>
    <s v="Remy Monet"/>
    <x v="4"/>
  </r>
  <r>
    <n v="10530"/>
    <s v="23-11-2022"/>
    <x v="3"/>
    <n v="12.99"/>
    <n v="477.29"/>
    <s v="Drive-thru "/>
    <s v=" Cash"/>
    <s v="Remy Monet"/>
    <x v="4"/>
  </r>
  <r>
    <n v="10531"/>
    <s v="23-11-2022"/>
    <x v="4"/>
    <n v="9.9499999999999993"/>
    <n v="201.01"/>
    <s v="Drive-thru "/>
    <s v=" Cash"/>
    <s v="Remy Monet"/>
    <x v="4"/>
  </r>
  <r>
    <n v="10532"/>
    <s v="23-11-2022"/>
    <x v="0"/>
    <n v="3.49"/>
    <n v="687.68"/>
    <s v="Drive-thru "/>
    <s v=" Cash"/>
    <s v="Joao Silva"/>
    <x v="2"/>
  </r>
  <r>
    <n v="10533"/>
    <s v="23-11-2022"/>
    <x v="1"/>
    <n v="2.95"/>
    <n v="745.76"/>
    <s v="Drive-thru "/>
    <s v=" Cash"/>
    <s v="Joao Silva"/>
    <x v="2"/>
  </r>
  <r>
    <n v="10534"/>
    <s v="23-11-2022"/>
    <x v="2"/>
    <n v="4.99"/>
    <n v="200.4"/>
    <s v="Drive-thru "/>
    <s v=" Cash"/>
    <s v="Pablo Perez"/>
    <x v="1"/>
  </r>
  <r>
    <n v="10535"/>
    <s v="24-11-2022"/>
    <x v="3"/>
    <n v="12.99"/>
    <n v="477.29"/>
    <s v="Drive-thru "/>
    <s v=" Credit Card"/>
    <s v="Pablo Perez"/>
    <x v="1"/>
  </r>
  <r>
    <n v="10536"/>
    <s v="24-11-2022"/>
    <x v="4"/>
    <n v="9.9499999999999993"/>
    <n v="201.01"/>
    <s v="Drive-thru "/>
    <s v=" Credit Card"/>
    <s v="Pablo Perez"/>
    <x v="1"/>
  </r>
  <r>
    <n v="10540"/>
    <s v="25-11-2022"/>
    <x v="3"/>
    <n v="12.99"/>
    <n v="461.89"/>
    <s v="Drive-thru "/>
    <s v=" Credit Card"/>
    <s v="Pablo Perez"/>
    <x v="1"/>
  </r>
  <r>
    <n v="10541"/>
    <s v="25-11-2022"/>
    <x v="4"/>
    <n v="9.9499999999999993"/>
    <n v="201.01"/>
    <s v="Drive-thru "/>
    <s v=" Credit Card"/>
    <s v="Tom Jackson"/>
    <x v="0"/>
  </r>
  <r>
    <n v="10542"/>
    <s v="25-11-2022"/>
    <x v="0"/>
    <n v="3.49"/>
    <n v="630.37"/>
    <s v="Drive-thru "/>
    <s v=" Credit Card"/>
    <s v="Tom Jackson"/>
    <x v="0"/>
  </r>
  <r>
    <n v="10543"/>
    <s v="25-11-2022"/>
    <x v="1"/>
    <n v="2.95"/>
    <n v="745.76"/>
    <s v="Drive-thru "/>
    <s v=" Credit Card"/>
    <s v="Tom Jackson"/>
    <x v="0"/>
  </r>
  <r>
    <n v="10544"/>
    <s v="25-11-2022"/>
    <x v="2"/>
    <n v="4.99"/>
    <n v="200.4"/>
    <s v="Drive-thru "/>
    <s v=" Credit Card"/>
    <s v="Tom Jackson"/>
    <x v="0"/>
  </r>
  <r>
    <n v="10545"/>
    <s v="26-11-2022"/>
    <x v="3"/>
    <n v="12.99"/>
    <n v="446.5"/>
    <s v="Drive-thru "/>
    <s v=" Credit Card"/>
    <s v="Tom Jackson"/>
    <x v="0"/>
  </r>
  <r>
    <n v="10546"/>
    <s v="26-11-2022"/>
    <x v="4"/>
    <n v="9.9499999999999993"/>
    <n v="201.01"/>
    <s v="Drive-thru "/>
    <s v=" Credit Card"/>
    <s v="Tom Jackson"/>
    <x v="0"/>
  </r>
  <r>
    <n v="10547"/>
    <s v="26-11-2022"/>
    <x v="0"/>
    <n v="3.49"/>
    <n v="630.37"/>
    <s v="Drive-thru "/>
    <s v=" Credit Card"/>
    <s v="Tom Jackson"/>
    <x v="0"/>
  </r>
  <r>
    <n v="10548"/>
    <s v="26-11-2022"/>
    <x v="1"/>
    <n v="2.95"/>
    <n v="745.76"/>
    <s v="Drive-thru "/>
    <s v=" Credit Card"/>
    <s v="Tom Jackson"/>
    <x v="0"/>
  </r>
  <r>
    <n v="10549"/>
    <s v="26-11-2022"/>
    <x v="2"/>
    <n v="4.99"/>
    <n v="200.4"/>
    <s v="Drive-thru "/>
    <s v=" Credit Card"/>
    <s v="Tom Jackson"/>
    <x v="0"/>
  </r>
  <r>
    <n v="10550"/>
    <s v="27-11-2022"/>
    <x v="3"/>
    <n v="12.99"/>
    <n v="461.89"/>
    <s v="Drive-thru "/>
    <s v=" Credit Card"/>
    <s v="Tom Jackson"/>
    <x v="0"/>
  </r>
  <r>
    <n v="10551"/>
    <s v="27-11-2022"/>
    <x v="4"/>
    <n v="9.9499999999999993"/>
    <n v="201.01"/>
    <s v="Drive-thru "/>
    <s v=" Credit Card"/>
    <s v="Tom Jackson"/>
    <x v="0"/>
  </r>
  <r>
    <n v="10552"/>
    <s v="27-11-2022"/>
    <x v="0"/>
    <n v="3.49"/>
    <n v="630.37"/>
    <s v="Online "/>
    <s v=" Credit Card"/>
    <s v="Tom Jackson"/>
    <x v="0"/>
  </r>
  <r>
    <n v="10553"/>
    <s v="27-11-2022"/>
    <x v="1"/>
    <n v="2.95"/>
    <n v="745.76"/>
    <s v="Online "/>
    <s v=" Credit Card"/>
    <s v="Tom Jackson"/>
    <x v="0"/>
  </r>
  <r>
    <n v="10554"/>
    <s v="27-11-2022"/>
    <x v="2"/>
    <n v="4.99"/>
    <n v="200.4"/>
    <s v="Online "/>
    <s v=" Credit Card"/>
    <s v="Tom Jackson"/>
    <x v="0"/>
  </r>
  <r>
    <n v="10555"/>
    <s v="28-11-2022"/>
    <x v="3"/>
    <n v="12.99"/>
    <n v="477.29"/>
    <s v="Online "/>
    <s v=" Credit Card"/>
    <s v="Tom Jackson"/>
    <x v="0"/>
  </r>
  <r>
    <n v="10556"/>
    <s v="28-11-2022"/>
    <x v="4"/>
    <n v="9.9499999999999993"/>
    <n v="201.01"/>
    <s v="Online "/>
    <s v=" Credit Card"/>
    <s v="Tom Jackson"/>
    <x v="0"/>
  </r>
  <r>
    <n v="10557"/>
    <s v="28-11-2022"/>
    <x v="0"/>
    <n v="3.49"/>
    <n v="630.37"/>
    <s v="Online "/>
    <s v=" Credit Card"/>
    <s v="Tom Jackson"/>
    <x v="0"/>
  </r>
  <r>
    <n v="10558"/>
    <s v="28-11-2022"/>
    <x v="1"/>
    <n v="2.95"/>
    <n v="677.97"/>
    <s v="Online "/>
    <s v=" Credit Card"/>
    <s v="Tom Jackson"/>
    <x v="0"/>
  </r>
  <r>
    <n v="10559"/>
    <s v="28-11-2022"/>
    <x v="2"/>
    <n v="4.99"/>
    <n v="200.4"/>
    <s v="Online "/>
    <s v=" Credit Card"/>
    <s v="Tom Jackson"/>
    <x v="0"/>
  </r>
  <r>
    <n v="10560"/>
    <s v="29-11-2022"/>
    <x v="3"/>
    <n v="12.99"/>
    <n v="477.29"/>
    <s v="Online "/>
    <s v=" Credit Card"/>
    <s v="Tom Jackson"/>
    <x v="0"/>
  </r>
  <r>
    <n v="10561"/>
    <s v="29-11-2022"/>
    <x v="4"/>
    <n v="9.9499999999999993"/>
    <n v="201.01"/>
    <s v="Online "/>
    <s v=" Credit Card"/>
    <s v="Tom Jackson"/>
    <x v="0"/>
  </r>
  <r>
    <n v="10562"/>
    <s v="29-11-2022"/>
    <x v="0"/>
    <n v="3.49"/>
    <n v="630.37"/>
    <s v="Online "/>
    <s v=" Credit Card"/>
    <s v="Tom Jackson"/>
    <x v="0"/>
  </r>
  <r>
    <n v="10563"/>
    <s v="29-11-2022"/>
    <x v="1"/>
    <n v="2.95"/>
    <n v="677.97"/>
    <s v="Online "/>
    <s v=" Credit Card"/>
    <s v="Tom Jackson"/>
    <x v="0"/>
  </r>
  <r>
    <n v="10564"/>
    <s v="29-11-2022"/>
    <x v="2"/>
    <n v="4.99"/>
    <n v="200.4"/>
    <s v="Online "/>
    <s v=" Credit Card"/>
    <s v="Tom Jackson"/>
    <x v="0"/>
  </r>
  <r>
    <n v="10565"/>
    <s v="30-11-2022"/>
    <x v="3"/>
    <n v="12.99"/>
    <n v="492.69"/>
    <s v="Online "/>
    <s v=" Credit Card"/>
    <s v="Tom Jackson"/>
    <x v="0"/>
  </r>
  <r>
    <n v="10566"/>
    <s v="30-11-2022"/>
    <x v="4"/>
    <n v="9.9499999999999993"/>
    <n v="201.01"/>
    <s v="Online "/>
    <s v=" Credit Card"/>
    <s v="Tom Jackson"/>
    <x v="0"/>
  </r>
  <r>
    <n v="10567"/>
    <s v="30-11-2022"/>
    <x v="0"/>
    <n v="3.49"/>
    <n v="630.37"/>
    <s v="Online "/>
    <s v=" Credit Card"/>
    <s v="Tom Jackson"/>
    <x v="0"/>
  </r>
  <r>
    <n v="10568"/>
    <s v="30-11-2022"/>
    <x v="1"/>
    <n v="2.95"/>
    <n v="677.97"/>
    <s v="Online "/>
    <s v=" Credit Card"/>
    <s v="Tom Jackson"/>
    <x v="0"/>
  </r>
  <r>
    <n v="10569"/>
    <s v="30-11-2022"/>
    <x v="2"/>
    <n v="4.99"/>
    <n v="200.4"/>
    <s v="Online "/>
    <s v=" Credit Card"/>
    <s v="Tom Jackson"/>
    <x v="0"/>
  </r>
  <r>
    <n v="10570"/>
    <s v="01-12-2022"/>
    <x v="3"/>
    <n v="12.99"/>
    <n v="492.69"/>
    <s v="Online "/>
    <s v=" Credit Card"/>
    <s v="Tom Jackson"/>
    <x v="0"/>
  </r>
  <r>
    <n v="10571"/>
    <s v="01-12-2022"/>
    <x v="4"/>
    <n v="9.9499999999999993"/>
    <n v="201.01"/>
    <s v="Online "/>
    <s v=" Credit Card"/>
    <s v="Tom Jackson"/>
    <x v="0"/>
  </r>
  <r>
    <n v="10572"/>
    <s v="01-12-2022"/>
    <x v="0"/>
    <n v="3.49"/>
    <n v="573.07000000000005"/>
    <s v="Online "/>
    <s v=" Credit Card"/>
    <s v="Remy Monet"/>
    <x v="4"/>
  </r>
  <r>
    <n v="10573"/>
    <s v="01-12-2022"/>
    <x v="1"/>
    <n v="2.95"/>
    <n v="677.97"/>
    <s v="Online "/>
    <s v=" Credit Card"/>
    <s v="Remy Monet"/>
    <x v="4"/>
  </r>
  <r>
    <n v="10574"/>
    <s v="01-12-2022"/>
    <x v="2"/>
    <n v="4.99"/>
    <n v="200.4"/>
    <s v="Online "/>
    <s v=" Credit Card"/>
    <s v="Remy Monet"/>
    <x v="4"/>
  </r>
  <r>
    <n v="10575"/>
    <s v="02-12-2022"/>
    <x v="3"/>
    <n v="12.99"/>
    <n v="523.48"/>
    <s v="Online "/>
    <s v=" Credit Card"/>
    <s v="Remy Monet"/>
    <x v="4"/>
  </r>
  <r>
    <n v="10576"/>
    <s v="02-12-2022"/>
    <x v="4"/>
    <n v="9.9499999999999993"/>
    <n v="201.01"/>
    <s v="Online "/>
    <s v=" Credit Card"/>
    <s v="Remy Monet"/>
    <x v="4"/>
  </r>
  <r>
    <n v="10577"/>
    <s v="02-12-2022"/>
    <x v="0"/>
    <n v="3.49"/>
    <n v="630.37"/>
    <s v="Online "/>
    <s v=" Credit Card"/>
    <s v="Remy Monet"/>
    <x v="4"/>
  </r>
  <r>
    <n v="10578"/>
    <s v="02-12-2022"/>
    <x v="1"/>
    <n v="2.95"/>
    <n v="677.97"/>
    <s v="Online "/>
    <s v=" Credit Card"/>
    <s v="Remy Monet"/>
    <x v="4"/>
  </r>
  <r>
    <n v="10579"/>
    <s v="02-12-2022"/>
    <x v="2"/>
    <n v="4.99"/>
    <n v="200.4"/>
    <s v="Online "/>
    <s v=" Credit Card"/>
    <s v="Remy Monet"/>
    <x v="4"/>
  </r>
  <r>
    <n v="10580"/>
    <s v="03-12-2022"/>
    <x v="3"/>
    <n v="12.99"/>
    <n v="523.48"/>
    <s v="Online "/>
    <s v=" Credit Card"/>
    <s v="Remy Monet"/>
    <x v="4"/>
  </r>
  <r>
    <n v="10581"/>
    <s v="03-12-2022"/>
    <x v="4"/>
    <n v="9.9499999999999993"/>
    <n v="201.01"/>
    <s v="Online "/>
    <s v=" Credit Card"/>
    <s v="Remy Monet"/>
    <x v="4"/>
  </r>
  <r>
    <n v="10582"/>
    <s v="03-12-2022"/>
    <x v="0"/>
    <n v="3.49"/>
    <n v="630.37"/>
    <s v="Online "/>
    <s v=" Credit Card"/>
    <s v="Tom Jackson"/>
    <x v="0"/>
  </r>
  <r>
    <n v="10583"/>
    <s v="03-12-2022"/>
    <x v="1"/>
    <n v="2.95"/>
    <n v="677.97"/>
    <s v="Online "/>
    <s v=" Credit Card"/>
    <s v="Tom Jackson"/>
    <x v="0"/>
  </r>
  <r>
    <n v="10584"/>
    <s v="03-12-2022"/>
    <x v="2"/>
    <n v="4.99"/>
    <n v="200.4"/>
    <s v="Online "/>
    <s v=" Credit Card"/>
    <s v="Tom Jackson"/>
    <x v="0"/>
  </r>
  <r>
    <n v="10585"/>
    <s v="04-12-2022"/>
    <x v="3"/>
    <n v="12.99"/>
    <n v="538.88"/>
    <s v="Online "/>
    <s v=" Credit Card"/>
    <s v="Tom Jackson"/>
    <x v="0"/>
  </r>
  <r>
    <n v="10586"/>
    <s v="04-12-2022"/>
    <x v="4"/>
    <n v="9.9499999999999993"/>
    <n v="201.01"/>
    <s v="Online "/>
    <s v=" Credit Card"/>
    <s v="Tom Jackson"/>
    <x v="0"/>
  </r>
  <r>
    <n v="10537"/>
    <s v="24-11-2022"/>
    <x v="0"/>
    <n v="3.49"/>
    <n v="630.37"/>
    <s v="Drive-thru "/>
    <s v=" Credit Card"/>
    <s v="Pablo Perez"/>
    <x v="1"/>
  </r>
  <r>
    <n v="10538"/>
    <s v="24-11-2022"/>
    <x v="1"/>
    <n v="2.95"/>
    <n v="745.76"/>
    <s v="Drive-thru "/>
    <s v=" Credit Card"/>
    <s v="Pablo Perez"/>
    <x v="1"/>
  </r>
  <r>
    <n v="10539"/>
    <s v="24-11-2022"/>
    <x v="2"/>
    <n v="4.99"/>
    <n v="200.4"/>
    <s v="Drive-thru "/>
    <s v=" Credit Card"/>
    <s v="Pablo Perez"/>
    <x v="1"/>
  </r>
  <r>
    <n v="10590"/>
    <s v="05-12-2022"/>
    <x v="3"/>
    <n v="12.99"/>
    <n v="554.27"/>
    <s v="Online "/>
    <s v=" Credit Card"/>
    <s v="Tom Jackson"/>
    <x v="0"/>
  </r>
  <r>
    <n v="10591"/>
    <s v="05-12-2022"/>
    <x v="4"/>
    <n v="9.9499999999999993"/>
    <n v="201.01"/>
    <s v="Online "/>
    <s v=" Credit Card"/>
    <s v="Tom Jackson"/>
    <x v="0"/>
  </r>
  <r>
    <n v="10592"/>
    <s v="05-12-2022"/>
    <x v="0"/>
    <n v="3.49"/>
    <n v="573.07000000000005"/>
    <s v="Online "/>
    <s v=" Credit Card"/>
    <s v="Tom Jackson"/>
    <x v="0"/>
  </r>
  <r>
    <n v="10593"/>
    <s v="05-12-2022"/>
    <x v="1"/>
    <n v="2.95"/>
    <n v="677.97"/>
    <s v="Online "/>
    <s v=" Credit Card"/>
    <s v="Tom Jackson"/>
    <x v="0"/>
  </r>
  <r>
    <n v="10594"/>
    <s v="05-12-2022"/>
    <x v="2"/>
    <n v="4.99"/>
    <n v="200.4"/>
    <s v="Online "/>
    <s v=" Credit Card"/>
    <s v="Tom Jackson"/>
    <x v="0"/>
  </r>
  <r>
    <n v="10595"/>
    <s v="06-12-2022"/>
    <x v="3"/>
    <n v="12.99"/>
    <n v="538.88"/>
    <s v="Online "/>
    <s v=" Credit Card"/>
    <s v="Tom Jackson"/>
    <x v="0"/>
  </r>
  <r>
    <n v="10596"/>
    <s v="06-12-2022"/>
    <x v="4"/>
    <n v="9.9499999999999993"/>
    <n v="201.01"/>
    <s v="Online "/>
    <s v=" Credit Card"/>
    <s v="Tom Jackson"/>
    <x v="0"/>
  </r>
  <r>
    <n v="10597"/>
    <s v="06-12-2022"/>
    <x v="0"/>
    <n v="3.49"/>
    <n v="573.07000000000005"/>
    <s v="Online "/>
    <s v=" Credit Card"/>
    <s v="Tom Jackson"/>
    <x v="0"/>
  </r>
  <r>
    <n v="10598"/>
    <s v="06-12-2022"/>
    <x v="1"/>
    <n v="2.95"/>
    <n v="677.97"/>
    <s v="Online "/>
    <s v=" Credit Card"/>
    <s v="Tom Jackson"/>
    <x v="0"/>
  </r>
  <r>
    <n v="10599"/>
    <s v="06-12-2022"/>
    <x v="2"/>
    <n v="4.99"/>
    <n v="200.4"/>
    <s v="Online "/>
    <s v=" Credit Card"/>
    <s v="Tom Jackson"/>
    <x v="0"/>
  </r>
  <r>
    <n v="10600"/>
    <s v="07-12-2022"/>
    <x v="3"/>
    <n v="12.99"/>
    <n v="523.48"/>
    <s v="Online "/>
    <s v=" Credit Card"/>
    <s v="Tom Jackson"/>
    <x v="0"/>
  </r>
  <r>
    <n v="10601"/>
    <s v="07-12-2022"/>
    <x v="4"/>
    <n v="9.9499999999999993"/>
    <n v="201.01"/>
    <s v="Online "/>
    <s v=" Credit Card"/>
    <s v="Tom Jackson"/>
    <x v="0"/>
  </r>
  <r>
    <n v="10602"/>
    <s v="07-12-2022"/>
    <x v="0"/>
    <n v="3.49"/>
    <n v="630.37"/>
    <s v="Online "/>
    <s v=" Cash"/>
    <s v="Tom Jackson"/>
    <x v="0"/>
  </r>
  <r>
    <n v="10603"/>
    <s v="07-12-2022"/>
    <x v="1"/>
    <n v="2.95"/>
    <n v="677.97"/>
    <s v="Online "/>
    <s v=" Cash"/>
    <s v="Tom Jackson"/>
    <x v="0"/>
  </r>
  <r>
    <n v="10604"/>
    <s v="07-12-2022"/>
    <x v="2"/>
    <n v="4.99"/>
    <n v="200.4"/>
    <s v="Online "/>
    <s v=" Cash"/>
    <s v="Tom Jackson"/>
    <x v="0"/>
  </r>
  <r>
    <n v="10605"/>
    <s v="08-12-2022"/>
    <x v="3"/>
    <n v="12.99"/>
    <n v="538.88"/>
    <s v="Online "/>
    <s v=" Cash"/>
    <s v="Tom Jackson"/>
    <x v="0"/>
  </r>
  <r>
    <n v="10606"/>
    <s v="08-12-2022"/>
    <x v="4"/>
    <n v="9.9499999999999993"/>
    <n v="201.01"/>
    <s v="Online "/>
    <s v=" Cash"/>
    <s v="Tom Jackson"/>
    <x v="0"/>
  </r>
  <r>
    <n v="10607"/>
    <s v="08-12-2022"/>
    <x v="0"/>
    <n v="3.49"/>
    <n v="630.37"/>
    <s v="Online "/>
    <s v=" Cash"/>
    <s v="Tom Jackson"/>
    <x v="0"/>
  </r>
  <r>
    <n v="10608"/>
    <s v="08-12-2022"/>
    <x v="1"/>
    <n v="2.95"/>
    <n v="677.97"/>
    <s v="Online "/>
    <s v=" Gift Card"/>
    <s v="Tom Jackson"/>
    <x v="0"/>
  </r>
  <r>
    <n v="10609"/>
    <s v="08-12-2022"/>
    <x v="2"/>
    <n v="4.99"/>
    <n v="200.4"/>
    <s v="Online "/>
    <s v=" Gift Card"/>
    <s v="Tom Jackson"/>
    <x v="0"/>
  </r>
  <r>
    <n v="10610"/>
    <s v="09-12-2022"/>
    <x v="3"/>
    <n v="12.99"/>
    <n v="569.66999999999996"/>
    <s v="Online "/>
    <s v=" Gift Card"/>
    <s v="Tom Jackson"/>
    <x v="0"/>
  </r>
  <r>
    <n v="10611"/>
    <s v="09-12-2022"/>
    <x v="4"/>
    <n v="9.9499999999999993"/>
    <n v="201.01"/>
    <s v="Online "/>
    <s v=" Gift Card"/>
    <s v="Tom Jackson"/>
    <x v="0"/>
  </r>
  <r>
    <n v="10612"/>
    <s v="09-12-2022"/>
    <x v="0"/>
    <n v="3.49"/>
    <n v="630.37"/>
    <s v="Online "/>
    <s v=" Gift Card"/>
    <s v="Tom Jackson"/>
    <x v="0"/>
  </r>
  <r>
    <n v="10613"/>
    <s v="09-12-2022"/>
    <x v="1"/>
    <n v="2.95"/>
    <n v="677.97"/>
    <s v="Online "/>
    <s v=" Gift Card"/>
    <s v="Tom Jackson"/>
    <x v="0"/>
  </r>
  <r>
    <n v="10614"/>
    <s v="09-12-2022"/>
    <x v="2"/>
    <n v="4.99"/>
    <n v="200.4"/>
    <s v="Online "/>
    <s v=" Gift Card"/>
    <s v="Tom Jackson"/>
    <x v="0"/>
  </r>
  <r>
    <n v="10615"/>
    <s v="10-12-2022"/>
    <x v="3"/>
    <n v="12.99"/>
    <n v="569.66999999999996"/>
    <s v="Online "/>
    <s v=" Gift Card"/>
    <s v="Tom Jackson"/>
    <x v="0"/>
  </r>
  <r>
    <n v="10616"/>
    <s v="10-12-2022"/>
    <x v="4"/>
    <n v="9.9499999999999993"/>
    <n v="201.01"/>
    <s v="Online "/>
    <s v=" Gift Card"/>
    <s v="Tom Jackson"/>
    <x v="0"/>
  </r>
  <r>
    <n v="10617"/>
    <s v="10-12-2022"/>
    <x v="0"/>
    <n v="3.49"/>
    <n v="630.37"/>
    <s v="Online "/>
    <s v=" Gift Card"/>
    <s v="Tom Jackson"/>
    <x v="0"/>
  </r>
  <r>
    <n v="10618"/>
    <s v="10-12-2022"/>
    <x v="1"/>
    <n v="2.95"/>
    <n v="677.97"/>
    <s v="Online "/>
    <s v=" Gift Card"/>
    <s v="Tom Jackson"/>
    <x v="0"/>
  </r>
  <r>
    <n v="10619"/>
    <s v="10-12-2022"/>
    <x v="2"/>
    <n v="4.99"/>
    <n v="200.4"/>
    <s v="Online "/>
    <s v=" Gift Card"/>
    <s v="Tom Jackson"/>
    <x v="0"/>
  </r>
  <r>
    <n v="10620"/>
    <s v="11-12-2022"/>
    <x v="3"/>
    <n v="12.99"/>
    <n v="585.07000000000005"/>
    <s v="Online "/>
    <s v=" Gift Card"/>
    <s v="Tom Jackson"/>
    <x v="0"/>
  </r>
  <r>
    <n v="10621"/>
    <s v="11-12-2022"/>
    <x v="4"/>
    <n v="9.9499999999999993"/>
    <n v="201.01"/>
    <s v="Online "/>
    <s v=" Gift Card"/>
    <s v="Tom Jackson"/>
    <x v="0"/>
  </r>
  <r>
    <n v="10622"/>
    <s v="11-12-2022"/>
    <x v="0"/>
    <n v="3.49"/>
    <n v="630.37"/>
    <s v="Online "/>
    <s v=" Gift Card"/>
    <s v="Tom Jackson"/>
    <x v="0"/>
  </r>
  <r>
    <n v="10623"/>
    <s v="11-12-2022"/>
    <x v="1"/>
    <n v="2.95"/>
    <n v="745.76"/>
    <s v="Online "/>
    <s v=" Gift Card"/>
    <s v="Tom Jackson"/>
    <x v="0"/>
  </r>
  <r>
    <n v="10624"/>
    <s v="11-12-2022"/>
    <x v="2"/>
    <n v="4.99"/>
    <n v="200.4"/>
    <s v="Online "/>
    <s v=" Gift Card"/>
    <s v="Tom Jackson"/>
    <x v="0"/>
  </r>
  <r>
    <n v="10625"/>
    <s v="12-12-2022"/>
    <x v="3"/>
    <n v="12.99"/>
    <n v="569.66999999999996"/>
    <s v="Online "/>
    <s v=" Gift Card"/>
    <s v="Tom Jackson"/>
    <x v="0"/>
  </r>
  <r>
    <n v="10626"/>
    <s v="12-12-2022"/>
    <x v="4"/>
    <n v="9.9499999999999993"/>
    <n v="201.01"/>
    <s v="Online "/>
    <s v=" Gift Card"/>
    <s v="Tom Jackson"/>
    <x v="0"/>
  </r>
  <r>
    <n v="10627"/>
    <s v="12-12-2022"/>
    <x v="0"/>
    <n v="3.49"/>
    <n v="630.37"/>
    <s v="Online "/>
    <s v=" Gift Card"/>
    <s v="Tom Jackson"/>
    <x v="0"/>
  </r>
  <r>
    <n v="10628"/>
    <s v="12-12-2022"/>
    <x v="1"/>
    <n v="2.95"/>
    <n v="677.97"/>
    <s v="Online "/>
    <s v=" Gift Card"/>
    <s v="Joao Silva"/>
    <x v="2"/>
  </r>
  <r>
    <n v="10629"/>
    <s v="12-12-2022"/>
    <x v="2"/>
    <n v="4.99"/>
    <n v="200.4"/>
    <s v="Online "/>
    <s v=" Gift Card"/>
    <s v="Joao Silva"/>
    <x v="2"/>
  </r>
  <r>
    <n v="10630"/>
    <s v="13-12-2022"/>
    <x v="3"/>
    <n v="12.99"/>
    <n v="569.66999999999996"/>
    <s v="Online "/>
    <s v=" Cash"/>
    <s v="Joao Silva"/>
    <x v="2"/>
  </r>
  <r>
    <n v="10631"/>
    <s v="13-12-2022"/>
    <x v="4"/>
    <n v="9.9499999999999993"/>
    <n v="201.01"/>
    <s v="Online "/>
    <s v=" Gift Card"/>
    <s v="Joao Silva"/>
    <x v="2"/>
  </r>
  <r>
    <n v="10632"/>
    <s v="13-12-2022"/>
    <x v="0"/>
    <n v="3.49"/>
    <n v="630.37"/>
    <s v="Online "/>
    <s v=" Gift Card"/>
    <s v="Joao Silva"/>
    <x v="2"/>
  </r>
  <r>
    <n v="10633"/>
    <s v="13-12-2022"/>
    <x v="1"/>
    <n v="2.95"/>
    <n v="677.97"/>
    <s v="Online "/>
    <s v=" Gift Card"/>
    <s v="Joao Silva"/>
    <x v="2"/>
  </r>
  <r>
    <n v="10634"/>
    <s v="13-12-2022"/>
    <x v="2"/>
    <n v="4.99"/>
    <n v="200.4"/>
    <s v="Online "/>
    <s v=" Gift Card"/>
    <s v="Joao Silva"/>
    <x v="2"/>
  </r>
  <r>
    <n v="10635"/>
    <s v="14-12-2022"/>
    <x v="3"/>
    <n v="12.99"/>
    <n v="554.27"/>
    <s v="Online "/>
    <s v=" Gift Card"/>
    <s v="Joao Silva"/>
    <x v="2"/>
  </r>
  <r>
    <n v="10636"/>
    <s v="14-12-2022"/>
    <x v="4"/>
    <n v="9.9499999999999993"/>
    <n v="221.11"/>
    <s v="Online "/>
    <s v=" Gift Card"/>
    <s v="Joao Silva"/>
    <x v="2"/>
  </r>
  <r>
    <n v="10637"/>
    <s v="14-12-2022"/>
    <x v="0"/>
    <n v="3.49"/>
    <n v="630.37"/>
    <s v="Online "/>
    <s v=" Gift Card"/>
    <s v="Joao Silva"/>
    <x v="2"/>
  </r>
  <r>
    <n v="10638"/>
    <s v="14-12-2022"/>
    <x v="1"/>
    <n v="2.95"/>
    <n v="677.97"/>
    <s v="Online "/>
    <s v=" Gift Card"/>
    <s v="Joao Silva"/>
    <x v="2"/>
  </r>
  <r>
    <n v="10639"/>
    <s v="14-12-2022"/>
    <x v="2"/>
    <n v="4.99"/>
    <n v="200.4"/>
    <s v="Online "/>
    <s v=" Gift Card"/>
    <s v="Joao Silva"/>
    <x v="2"/>
  </r>
  <r>
    <n v="10640"/>
    <s v="15-12-2022"/>
    <x v="3"/>
    <n v="12.99"/>
    <n v="538.88"/>
    <s v="Online "/>
    <s v=" Gift Card"/>
    <s v="Joao Silva"/>
    <x v="2"/>
  </r>
  <r>
    <n v="10641"/>
    <s v="15-12-2022"/>
    <x v="4"/>
    <n v="9.9499999999999993"/>
    <n v="221.11"/>
    <s v="Online "/>
    <s v=" Gift Card"/>
    <s v="Joao Silva"/>
    <x v="2"/>
  </r>
  <r>
    <n v="10642"/>
    <s v="15-12-2022"/>
    <x v="0"/>
    <n v="3.49"/>
    <n v="630.37"/>
    <s v="Online "/>
    <s v=" Cash"/>
    <s v="Joao Silva"/>
    <x v="2"/>
  </r>
  <r>
    <n v="10643"/>
    <s v="15-12-2022"/>
    <x v="1"/>
    <n v="2.95"/>
    <n v="677.97"/>
    <s v="Online "/>
    <s v=" Cash"/>
    <s v="Joao Silva"/>
    <x v="2"/>
  </r>
  <r>
    <n v="10644"/>
    <s v="15-12-2022"/>
    <x v="2"/>
    <n v="4.99"/>
    <n v="200.4"/>
    <s v="Online "/>
    <s v=" Cash"/>
    <s v="Joao Silva"/>
    <x v="2"/>
  </r>
  <r>
    <n v="10645"/>
    <s v="16-12-2022"/>
    <x v="3"/>
    <n v="12.99"/>
    <n v="569.66999999999996"/>
    <s v="Online "/>
    <s v=" Cash"/>
    <s v="Joao Silva"/>
    <x v="2"/>
  </r>
  <r>
    <n v="10646"/>
    <s v="16-12-2022"/>
    <x v="4"/>
    <n v="9.9499999999999993"/>
    <n v="221.11"/>
    <s v="Online "/>
    <s v=" Cash"/>
    <s v="Joao Silva"/>
    <x v="2"/>
  </r>
  <r>
    <n v="10647"/>
    <s v="16-12-2022"/>
    <x v="0"/>
    <n v="3.49"/>
    <n v="630.37"/>
    <s v="Online "/>
    <s v=" Gift Card"/>
    <s v="Joao Silva"/>
    <x v="2"/>
  </r>
  <r>
    <n v="10648"/>
    <s v="16-12-2022"/>
    <x v="1"/>
    <n v="2.95"/>
    <n v="745.76"/>
    <s v="Online "/>
    <s v=" Gift Card"/>
    <s v="Joao Silva"/>
    <x v="2"/>
  </r>
  <r>
    <n v="10649"/>
    <s v="16-12-2022"/>
    <x v="2"/>
    <n v="4.99"/>
    <n v="200.4"/>
    <s v="Online "/>
    <s v=" Gift Card"/>
    <s v="Joao Silva"/>
    <x v="2"/>
  </r>
  <r>
    <n v="10650"/>
    <s v="17-12-2022"/>
    <x v="3"/>
    <n v="12.99"/>
    <n v="585.07000000000005"/>
    <s v="Online "/>
    <s v=" Gift Card"/>
    <s v="Joao Silva"/>
    <x v="2"/>
  </r>
  <r>
    <n v="10651"/>
    <s v="17-12-2022"/>
    <x v="4"/>
    <n v="9.9499999999999993"/>
    <n v="221.11"/>
    <s v="Online "/>
    <s v=" Gift Card"/>
    <s v="Joao Silva"/>
    <x v="2"/>
  </r>
  <r>
    <n v="10652"/>
    <s v="17-12-2022"/>
    <x v="0"/>
    <n v="3.49"/>
    <n v="687.68"/>
    <s v="Online "/>
    <s v=" Gift Card"/>
    <s v="Joao Silva"/>
    <x v="2"/>
  </r>
  <r>
    <n v="10653"/>
    <s v="17-12-2022"/>
    <x v="1"/>
    <n v="2.95"/>
    <n v="745.76"/>
    <s v="Online "/>
    <s v=" Gift Card"/>
    <s v="Joao Silva"/>
    <x v="2"/>
  </r>
  <r>
    <n v="10654"/>
    <s v="17-12-2022"/>
    <x v="2"/>
    <n v="4.99"/>
    <n v="200.4"/>
    <s v="Online "/>
    <s v=" Gift Card"/>
    <s v="Joao Silva"/>
    <x v="2"/>
  </r>
  <r>
    <n v="10655"/>
    <s v="18-12-2022"/>
    <x v="3"/>
    <n v="12.99"/>
    <n v="600.46"/>
    <s v="Online "/>
    <s v=" Gift Card"/>
    <s v="Joao Silva"/>
    <x v="2"/>
  </r>
  <r>
    <n v="10656"/>
    <s v="18-12-2022"/>
    <x v="4"/>
    <n v="9.9499999999999993"/>
    <n v="221.11"/>
    <s v="Online "/>
    <s v=" Gift Card"/>
    <s v="Joao Silva"/>
    <x v="2"/>
  </r>
  <r>
    <n v="10657"/>
    <s v="18-12-2022"/>
    <x v="0"/>
    <n v="3.49"/>
    <n v="687.68"/>
    <s v="Online "/>
    <s v=" Gift Card"/>
    <s v="Joao Silva"/>
    <x v="2"/>
  </r>
  <r>
    <n v="10658"/>
    <s v="18-12-2022"/>
    <x v="1"/>
    <n v="2.95"/>
    <n v="745.76"/>
    <s v="Online "/>
    <s v=" Cash"/>
    <s v="Joao Silva"/>
    <x v="2"/>
  </r>
  <r>
    <n v="10659"/>
    <s v="18-12-2022"/>
    <x v="2"/>
    <n v="4.99"/>
    <n v="200.4"/>
    <s v="Online "/>
    <s v=" Cash"/>
    <s v="Joao Silva"/>
    <x v="2"/>
  </r>
  <r>
    <n v="10660"/>
    <s v="19-12-2022"/>
    <x v="3"/>
    <n v="12.99"/>
    <n v="631.25"/>
    <s v="In-store "/>
    <s v=" Cash"/>
    <s v="Joao Silva"/>
    <x v="2"/>
  </r>
  <r>
    <n v="10661"/>
    <s v="19-12-2022"/>
    <x v="4"/>
    <n v="9.9499999999999993"/>
    <n v="221.11"/>
    <s v="In-store "/>
    <s v=" Cash"/>
    <s v="Joao Silva"/>
    <x v="2"/>
  </r>
  <r>
    <n v="10662"/>
    <s v="19-12-2022"/>
    <x v="0"/>
    <n v="3.49"/>
    <n v="630.37"/>
    <s v="In-store "/>
    <s v=" Cash"/>
    <s v="Joao Silva"/>
    <x v="2"/>
  </r>
  <r>
    <n v="10663"/>
    <s v="19-12-2022"/>
    <x v="1"/>
    <n v="2.95"/>
    <n v="745.76"/>
    <s v="In-store "/>
    <s v=" Cash"/>
    <s v="Joao Silva"/>
    <x v="2"/>
  </r>
  <r>
    <n v="10664"/>
    <s v="19-12-2022"/>
    <x v="2"/>
    <n v="4.99"/>
    <n v="200.4"/>
    <s v="In-store "/>
    <s v=" Cash"/>
    <s v="Joao Silva"/>
    <x v="2"/>
  </r>
  <r>
    <n v="10665"/>
    <s v="20-12-2022"/>
    <x v="3"/>
    <n v="12.99"/>
    <n v="646.65"/>
    <s v="In-store "/>
    <s v=" Cash"/>
    <s v="Joao Silva"/>
    <x v="2"/>
  </r>
  <r>
    <n v="10666"/>
    <s v="20-12-2022"/>
    <x v="4"/>
    <n v="9.9499999999999993"/>
    <n v="221.11"/>
    <s v="In-store "/>
    <s v=" Cash"/>
    <s v="Joao Silva"/>
    <x v="2"/>
  </r>
  <r>
    <n v="10667"/>
    <s v="20-12-2022"/>
    <x v="0"/>
    <n v="3.49"/>
    <n v="630.37"/>
    <s v="In-store "/>
    <s v=" Cash"/>
    <s v="Joao Silva"/>
    <x v="2"/>
  </r>
  <r>
    <n v="10668"/>
    <s v="20-12-2022"/>
    <x v="1"/>
    <n v="2.95"/>
    <n v="745.76"/>
    <s v="In-store "/>
    <s v=" Cash"/>
    <s v="Joao Silva"/>
    <x v="2"/>
  </r>
  <r>
    <n v="10669"/>
    <s v="20-12-2022"/>
    <x v="2"/>
    <n v="4.99"/>
    <n v="200.4"/>
    <s v="In-store "/>
    <s v=" Cash"/>
    <s v="Joao Silva"/>
    <x v="2"/>
  </r>
  <r>
    <n v="10670"/>
    <s v="21-12-2022"/>
    <x v="3"/>
    <n v="12.99"/>
    <n v="677.44"/>
    <s v="In-store "/>
    <s v=" Cash"/>
    <s v="Joao Silva"/>
    <x v="2"/>
  </r>
  <r>
    <n v="10671"/>
    <s v="21-12-2022"/>
    <x v="4"/>
    <n v="9.9499999999999993"/>
    <n v="221.11"/>
    <s v="In-store "/>
    <s v=" Cash"/>
    <s v="Joao Silva"/>
    <x v="2"/>
  </r>
  <r>
    <n v="10672"/>
    <s v="21-12-2022"/>
    <x v="0"/>
    <n v="3.49"/>
    <n v="630.37"/>
    <s v="In-store "/>
    <s v=" Cash"/>
    <s v="Joao Silva"/>
    <x v="2"/>
  </r>
  <r>
    <n v="10673"/>
    <s v="21-12-2022"/>
    <x v="1"/>
    <n v="2.95"/>
    <n v="745.76"/>
    <s v="In-store "/>
    <s v=" Cash"/>
    <s v="Joao Silva"/>
    <x v="2"/>
  </r>
  <r>
    <n v="10674"/>
    <s v="21-12-2022"/>
    <x v="2"/>
    <n v="4.99"/>
    <n v="200.4"/>
    <s v="In-store "/>
    <s v=" Cash"/>
    <s v="Joao Silva"/>
    <x v="2"/>
  </r>
  <r>
    <n v="10675"/>
    <s v="22-12-2022"/>
    <x v="3"/>
    <n v="12.99"/>
    <n v="677.44"/>
    <s v="In-store "/>
    <s v=" Cash"/>
    <s v="Joao Silva"/>
    <x v="2"/>
  </r>
  <r>
    <n v="10676"/>
    <s v="22-12-2022"/>
    <x v="4"/>
    <n v="9.9499999999999993"/>
    <n v="241.21"/>
    <s v="In-store "/>
    <s v=" Cash"/>
    <s v="Joao Silva"/>
    <x v="2"/>
  </r>
  <r>
    <n v="10677"/>
    <s v="22-12-2022"/>
    <x v="0"/>
    <n v="3.49"/>
    <n v="630.37"/>
    <s v="In-store "/>
    <s v=" Cash"/>
    <s v="Joao Silva"/>
    <x v="2"/>
  </r>
  <r>
    <n v="10678"/>
    <s v="22-12-2022"/>
    <x v="1"/>
    <n v="2.95"/>
    <n v="745.76"/>
    <s v="In-store "/>
    <s v=" Cash"/>
    <s v="Joao Silva"/>
    <x v="2"/>
  </r>
  <r>
    <n v="10679"/>
    <s v="22-12-2022"/>
    <x v="2"/>
    <n v="4.99"/>
    <n v="200.4"/>
    <s v="In-store "/>
    <s v=" Cash"/>
    <s v="Joao Silva"/>
    <x v="2"/>
  </r>
  <r>
    <n v="10680"/>
    <s v="23-12-2022"/>
    <x v="3"/>
    <n v="12.99"/>
    <n v="646.65"/>
    <s v="In-store "/>
    <s v=" Cash"/>
    <s v="Joao Silva"/>
    <x v="2"/>
  </r>
  <r>
    <n v="10681"/>
    <s v="23-12-2022"/>
    <x v="4"/>
    <n v="9.9499999999999993"/>
    <n v="241.21"/>
    <s v="In-store "/>
    <s v=" Cash"/>
    <s v="Joao Silva"/>
    <x v="2"/>
  </r>
  <r>
    <n v="10682"/>
    <s v="23-12-2022"/>
    <x v="0"/>
    <n v="3.49"/>
    <n v="630.37"/>
    <s v="In-store "/>
    <s v=" Cash"/>
    <s v="Joao Silva"/>
    <x v="2"/>
  </r>
  <r>
    <n v="10683"/>
    <s v="23-12-2022"/>
    <x v="1"/>
    <n v="2.95"/>
    <n v="677.97"/>
    <s v="In-store "/>
    <s v=" Cash"/>
    <s v="Joao Silva"/>
    <x v="2"/>
  </r>
  <r>
    <n v="10684"/>
    <s v="23-12-2022"/>
    <x v="2"/>
    <n v="4.99"/>
    <n v="200.4"/>
    <s v="In-store "/>
    <s v=" Cash"/>
    <s v="Joao Silva"/>
    <x v="2"/>
  </r>
  <r>
    <n v="10685"/>
    <s v="24-12-2022"/>
    <x v="3"/>
    <n v="12.99"/>
    <n v="677.44"/>
    <s v="In-store "/>
    <s v=" Cash"/>
    <s v="Joao Silva"/>
    <x v="2"/>
  </r>
  <r>
    <n v="10686"/>
    <s v="24-12-2022"/>
    <x v="4"/>
    <n v="9.9499999999999993"/>
    <n v="241.21"/>
    <s v="In-store "/>
    <s v=" Cash"/>
    <s v="Joao Silva"/>
    <x v="2"/>
  </r>
  <r>
    <n v="10687"/>
    <s v="24-12-2022"/>
    <x v="0"/>
    <n v="3.49"/>
    <n v="630.37"/>
    <s v="In-store "/>
    <s v=" Cash"/>
    <s v="Walter Muller"/>
    <x v="3"/>
  </r>
  <r>
    <n v="10688"/>
    <s v="24-12-2022"/>
    <x v="1"/>
    <n v="2.95"/>
    <n v="677.97"/>
    <s v="In-store "/>
    <s v=" Cash"/>
    <s v="Walter Muller"/>
    <x v="3"/>
  </r>
  <r>
    <n v="10689"/>
    <s v="24-12-2022"/>
    <x v="2"/>
    <n v="4.99"/>
    <n v="200.4"/>
    <s v="In-store "/>
    <s v=" Cash"/>
    <s v="Walter Muller"/>
    <x v="3"/>
  </r>
  <r>
    <n v="10690"/>
    <s v="25-12-2022"/>
    <x v="3"/>
    <n v="12.99"/>
    <n v="677.44"/>
    <s v="In-store "/>
    <s v=" Cash"/>
    <s v="Walter Muller"/>
    <x v="3"/>
  </r>
  <r>
    <n v="10691"/>
    <s v="25-12-2022"/>
    <x v="4"/>
    <n v="9.9499999999999993"/>
    <n v="261.31"/>
    <s v="In-store "/>
    <s v=" Cash"/>
    <s v="Walter Muller"/>
    <x v="3"/>
  </r>
  <r>
    <n v="10692"/>
    <s v="25-12-2022"/>
    <x v="0"/>
    <n v="3.49"/>
    <n v="630.37"/>
    <s v="In-store "/>
    <s v=" Cash"/>
    <s v="Walter Muller"/>
    <x v="3"/>
  </r>
  <r>
    <n v="10693"/>
    <s v="25-12-2022"/>
    <x v="1"/>
    <n v="2.95"/>
    <n v="677.97"/>
    <s v="In-store "/>
    <s v=" Cash"/>
    <s v="Walter Muller"/>
    <x v="3"/>
  </r>
  <r>
    <n v="10694"/>
    <s v="25-12-2022"/>
    <x v="2"/>
    <n v="4.99"/>
    <n v="200.4"/>
    <s v="In-store "/>
    <s v=" Cash"/>
    <s v="Walter Muller"/>
    <x v="3"/>
  </r>
  <r>
    <n v="10695"/>
    <s v="26-12-2022"/>
    <x v="3"/>
    <n v="12.99"/>
    <n v="692.84"/>
    <s v="In-store "/>
    <s v=" Cash"/>
    <s v="Walter Muller"/>
    <x v="3"/>
  </r>
  <r>
    <n v="10696"/>
    <s v="26-12-2022"/>
    <x v="4"/>
    <n v="9.9499999999999993"/>
    <n v="281.41000000000003"/>
    <s v="In-store "/>
    <s v=" Cash"/>
    <s v="Walter Muller"/>
    <x v="3"/>
  </r>
  <r>
    <n v="10697"/>
    <s v="26-12-2022"/>
    <x v="0"/>
    <n v="3.49"/>
    <n v="630.37"/>
    <s v="In-store "/>
    <s v=" Cash"/>
    <s v="Walter Muller"/>
    <x v="3"/>
  </r>
  <r>
    <n v="10698"/>
    <s v="26-12-2022"/>
    <x v="1"/>
    <n v="2.95"/>
    <n v="677.97"/>
    <s v="In-store "/>
    <s v=" Cash"/>
    <s v="Walter Muller"/>
    <x v="3"/>
  </r>
  <r>
    <n v="10699"/>
    <s v="26-12-2022"/>
    <x v="2"/>
    <n v="4.99"/>
    <n v="200.4"/>
    <s v="In-store "/>
    <s v=" Cash"/>
    <s v="Walter Muller"/>
    <x v="3"/>
  </r>
  <r>
    <n v="10700"/>
    <s v="27-12-2022"/>
    <x v="3"/>
    <n v="12.99"/>
    <n v="692.84"/>
    <s v="In-store "/>
    <s v=" Cash"/>
    <s v="Walter Muller"/>
    <x v="3"/>
  </r>
  <r>
    <n v="10701"/>
    <s v="27-12-2022"/>
    <x v="4"/>
    <n v="9.9499999999999993"/>
    <n v="281.41000000000003"/>
    <s v="In-store "/>
    <s v=" Cash"/>
    <s v="Walter Muller"/>
    <x v="3"/>
  </r>
  <r>
    <n v="10702"/>
    <s v="27-12-2022"/>
    <x v="0"/>
    <n v="3.49"/>
    <n v="630.37"/>
    <s v="In-store "/>
    <s v=" Cash"/>
    <s v="Walter Muller"/>
    <x v="3"/>
  </r>
  <r>
    <n v="10703"/>
    <s v="27-12-2022"/>
    <x v="1"/>
    <n v="2.95"/>
    <n v="677.97"/>
    <s v="In-store "/>
    <s v=" Gift Card"/>
    <s v="Walter Muller"/>
    <x v="3"/>
  </r>
  <r>
    <n v="10704"/>
    <s v="27-12-2022"/>
    <x v="2"/>
    <n v="4.99"/>
    <n v="200.4"/>
    <s v="Drive-thru "/>
    <s v=" Gift Card"/>
    <s v="Walter Muller"/>
    <x v="3"/>
  </r>
  <r>
    <n v="10705"/>
    <s v="28-12-2022"/>
    <x v="3"/>
    <n v="12.99"/>
    <n v="723.63"/>
    <s v="Drive-thru "/>
    <s v=" Gift Card"/>
    <s v="Walter Muller"/>
    <x v="3"/>
  </r>
  <r>
    <n v="10706"/>
    <s v="28-12-2022"/>
    <x v="4"/>
    <n v="9.9499999999999993"/>
    <n v="301.51"/>
    <s v="Drive-thru "/>
    <s v=" Gift Card"/>
    <s v="Walter Muller"/>
    <x v="3"/>
  </r>
  <r>
    <n v="10707"/>
    <s v="28-12-2022"/>
    <x v="0"/>
    <n v="3.49"/>
    <n v="630.37"/>
    <s v="Drive-thru "/>
    <s v=" Gift Card"/>
    <s v="Walter Muller"/>
    <x v="3"/>
  </r>
  <r>
    <n v="10708"/>
    <s v="28-12-2022"/>
    <x v="1"/>
    <n v="2.95"/>
    <n v="677.97"/>
    <s v="Drive-thru "/>
    <s v=" Gift Card"/>
    <s v="Walter Muller"/>
    <x v="3"/>
  </r>
  <r>
    <n v="10709"/>
    <s v="28-12-2022"/>
    <x v="2"/>
    <n v="4.99"/>
    <n v="200.4"/>
    <s v="Drive-thru "/>
    <s v=" Gift Card"/>
    <s v="Walter Muller"/>
    <x v="3"/>
  </r>
  <r>
    <n v="10710"/>
    <s v="29-12-2022"/>
    <x v="3"/>
    <n v="12.99"/>
    <n v="754.43"/>
    <s v="Drive-thru "/>
    <s v=" Gift Card"/>
    <s v="Walter Muller"/>
    <x v="3"/>
  </r>
  <r>
    <n v="10711"/>
    <s v="29-12-2022"/>
    <x v="4"/>
    <n v="9.9499999999999993"/>
    <n v="281.41000000000003"/>
    <s v="Drive-thru "/>
    <s v=" Gift Card"/>
    <s v="Walter Muller"/>
    <x v="3"/>
  </r>
  <r>
    <n v="10712"/>
    <s v="29-12-2022"/>
    <x v="0"/>
    <n v="3.49"/>
    <n v="630.37"/>
    <s v="Drive-thru "/>
    <s v=" Gift Card"/>
    <s v="Walter Muller"/>
    <x v="3"/>
  </r>
  <r>
    <n v="10713"/>
    <s v="29-12-2022"/>
    <x v="1"/>
    <n v="2.95"/>
    <n v="677.97"/>
    <s v="Drive-thru "/>
    <s v=" Gift Card"/>
    <s v="Walter Muller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EF437-3342-4FD0-91AE-AD8937DC891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ucts">
  <location ref="O3:P9" firstHeaderRow="1" firstDataRow="1" firstDataCol="1"/>
  <pivotFields count="9">
    <pivotField showAll="0"/>
    <pivotField showAll="0"/>
    <pivotField axis="axisRow" showAll="0" sortType="descending">
      <items count="6">
        <item x="1"/>
        <item x="3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3"/>
    </i>
    <i>
      <x v="1"/>
    </i>
    <i>
      <x v="2"/>
    </i>
    <i>
      <x v="4"/>
    </i>
    <i t="grand">
      <x/>
    </i>
  </rowItems>
  <colItems count="1">
    <i/>
  </colItems>
  <dataFields count="1">
    <dataField name="Products Quantity" fld="4" baseField="2" baseItem="0" numFmtId="1"/>
  </dataFields>
  <formats count="1">
    <format dxfId="0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68E78-95D5-4231-A0FD-754976129CF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roducts">
  <location ref="A21:B27" firstHeaderRow="1" firstDataRow="1" firstDataCol="1"/>
  <pivotFields count="9">
    <pivotField showAll="0"/>
    <pivotField showAll="0"/>
    <pivotField axis="axisRow" showAll="0" sortType="descending">
      <items count="6">
        <item x="1"/>
        <item x="3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1"/>
    </i>
    <i>
      <x v="2"/>
    </i>
    <i>
      <x v="4"/>
    </i>
    <i>
      <x v="3"/>
    </i>
    <i>
      <x/>
    </i>
    <i t="grand">
      <x/>
    </i>
  </rowItems>
  <colItems count="1">
    <i/>
  </colItems>
  <dataFields count="1">
    <dataField name="AVG Unit Price" fld="3" subtotal="average" baseField="2" baseItem="1" numFmtId="2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BD6EF-9ADF-4B00-AEC6-7F2E72814DDC}" name="CityPivotTBL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ities">
  <location ref="A2:C8" firstHeaderRow="0" firstDataRow="1" firstDataCol="1"/>
  <pivotFields count="9"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name="Cities"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6">
    <i>
      <x v="1"/>
    </i>
    <i>
      <x v="2"/>
    </i>
    <i>
      <x v="3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3" baseField="8" baseItem="1" numFmtId="164"/>
    <dataField name="Total Orders" fld="0" subtotal="count" baseField="8" baseItem="1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59A88-75E9-4CA7-9AA1-65AC810D6DC9}" name="Table2" displayName="Table2" ref="A3:I257" totalsRowShown="0">
  <autoFilter ref="A3:I257" xr:uid="{4F059A88-75E9-4CA7-9AA1-65AC810D6DC9}"/>
  <tableColumns count="9">
    <tableColumn id="1" xr3:uid="{C34C1F51-39DB-486E-BD40-68323BD6E0F9}" name="Order ID"/>
    <tableColumn id="2" xr3:uid="{34F7FE24-36E7-45F5-A5F5-BB46998D6E2D}" name="Date"/>
    <tableColumn id="3" xr3:uid="{01CC194D-F6D1-49EC-8450-E5FCA64A2FB0}" name="Product"/>
    <tableColumn id="4" xr3:uid="{0DB3DA16-9A03-4806-B874-00A45C8FC104}" name="Price" dataDxfId="4"/>
    <tableColumn id="5" xr3:uid="{AFC65754-FF7D-4F59-BC89-87A20EADB889}" name="Quantity"/>
    <tableColumn id="6" xr3:uid="{70C35127-57DC-4069-BC91-8E07961E2695}" name="Purchase Type"/>
    <tableColumn id="7" xr3:uid="{E4297590-5FB3-466A-B064-A05525CE8B8C}" name="Payment Method"/>
    <tableColumn id="8" xr3:uid="{690096FA-66EA-4AFA-86E2-78798FE8B0C6}" name="Manager"/>
    <tableColumn id="9" xr3:uid="{CB909E7D-DE0C-4333-B23E-1F9F98C59014}" name="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BDF86E-CC60-491A-A3B1-FE6FB44CBAEF}" name="Table3" displayName="Table3" ref="S30:U35" totalsRowShown="0">
  <autoFilter ref="S30:U35" xr:uid="{51BDF86E-CC60-491A-A3B1-FE6FB44CBAEF}"/>
  <sortState xmlns:xlrd2="http://schemas.microsoft.com/office/spreadsheetml/2017/richdata2" ref="S31:U35">
    <sortCondition ref="S30:S35"/>
  </sortState>
  <tableColumns count="3">
    <tableColumn id="1" xr3:uid="{50D74E58-BF1F-4C55-8284-EDCA27BF47B0}" name="City"/>
    <tableColumn id="2" xr3:uid="{33C16683-48C5-41AC-B980-1C424A0664B2}" name="Total Sales(SUMIF)" dataDxfId="3">
      <calculatedColumnFormula>SUMIF(City, S31, Price)</calculatedColumnFormula>
    </tableColumn>
    <tableColumn id="3" xr3:uid="{E748D876-2D36-4F3D-8C98-9764CDD22BA4}" name="Total Orders(COUNTIF)">
      <calculatedColumnFormula>COUNTIF(City,S31)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6300-322A-4CF2-8746-E160C8542419}">
  <dimension ref="A1:I255"/>
  <sheetViews>
    <sheetView workbookViewId="0"/>
  </sheetViews>
  <sheetFormatPr defaultRowHeight="15" x14ac:dyDescent="0.25"/>
  <cols>
    <col min="8" max="8" width="15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10452</v>
      </c>
      <c r="B2" s="4" t="s">
        <v>9</v>
      </c>
      <c r="C2" t="s">
        <v>10</v>
      </c>
      <c r="D2">
        <v>3.49</v>
      </c>
      <c r="E2">
        <v>573.07000000000005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>
        <v>10453</v>
      </c>
      <c r="B3" s="4" t="s">
        <v>9</v>
      </c>
      <c r="C3" t="s">
        <v>15</v>
      </c>
      <c r="D3">
        <v>2.95</v>
      </c>
      <c r="E3">
        <v>745.76</v>
      </c>
      <c r="F3" t="s">
        <v>11</v>
      </c>
      <c r="G3" t="s">
        <v>12</v>
      </c>
      <c r="H3" t="s">
        <v>16</v>
      </c>
      <c r="I3" t="s">
        <v>17</v>
      </c>
    </row>
    <row r="4" spans="1:9" x14ac:dyDescent="0.25">
      <c r="A4">
        <v>10454</v>
      </c>
      <c r="B4" s="4" t="s">
        <v>9</v>
      </c>
      <c r="C4" t="s">
        <v>18</v>
      </c>
      <c r="D4">
        <v>4.99</v>
      </c>
      <c r="E4">
        <v>200.4</v>
      </c>
      <c r="F4" t="s">
        <v>19</v>
      </c>
      <c r="G4" t="s">
        <v>12</v>
      </c>
      <c r="H4" t="s">
        <v>20</v>
      </c>
      <c r="I4" t="s">
        <v>21</v>
      </c>
    </row>
    <row r="5" spans="1:9" x14ac:dyDescent="0.25">
      <c r="A5">
        <v>10455</v>
      </c>
      <c r="B5" s="4" t="s">
        <v>22</v>
      </c>
      <c r="C5" t="s">
        <v>23</v>
      </c>
      <c r="D5">
        <v>12.99</v>
      </c>
      <c r="E5">
        <v>569.66999999999996</v>
      </c>
      <c r="F5" t="s">
        <v>19</v>
      </c>
      <c r="G5" t="s">
        <v>24</v>
      </c>
      <c r="H5" t="s">
        <v>25</v>
      </c>
      <c r="I5" t="s">
        <v>26</v>
      </c>
    </row>
    <row r="6" spans="1:9" x14ac:dyDescent="0.25">
      <c r="A6">
        <v>10456</v>
      </c>
      <c r="B6" s="4" t="s">
        <v>22</v>
      </c>
      <c r="C6" t="s">
        <v>27</v>
      </c>
      <c r="D6">
        <v>9.9499999999999993</v>
      </c>
      <c r="E6">
        <v>201.01</v>
      </c>
      <c r="F6" t="s">
        <v>19</v>
      </c>
      <c r="G6" t="s">
        <v>24</v>
      </c>
      <c r="H6" t="s">
        <v>25</v>
      </c>
      <c r="I6" t="s">
        <v>26</v>
      </c>
    </row>
    <row r="7" spans="1:9" x14ac:dyDescent="0.25">
      <c r="A7">
        <v>10457</v>
      </c>
      <c r="B7" s="4" t="s">
        <v>22</v>
      </c>
      <c r="C7" t="s">
        <v>10</v>
      </c>
      <c r="D7">
        <v>3.49</v>
      </c>
      <c r="E7">
        <v>573.07000000000005</v>
      </c>
      <c r="F7" t="s">
        <v>19</v>
      </c>
      <c r="G7" t="s">
        <v>24</v>
      </c>
      <c r="H7" t="s">
        <v>28</v>
      </c>
      <c r="I7" t="s">
        <v>29</v>
      </c>
    </row>
    <row r="8" spans="1:9" x14ac:dyDescent="0.25">
      <c r="A8">
        <v>10459</v>
      </c>
      <c r="B8" s="4" t="s">
        <v>22</v>
      </c>
      <c r="C8" t="s">
        <v>18</v>
      </c>
      <c r="D8">
        <v>4.99</v>
      </c>
      <c r="E8">
        <v>200.4</v>
      </c>
      <c r="F8" t="s">
        <v>19</v>
      </c>
      <c r="G8" t="s">
        <v>24</v>
      </c>
      <c r="H8" t="s">
        <v>25</v>
      </c>
      <c r="I8" t="s">
        <v>26</v>
      </c>
    </row>
    <row r="9" spans="1:9" x14ac:dyDescent="0.25">
      <c r="A9">
        <v>10460</v>
      </c>
      <c r="B9" s="4" t="s">
        <v>30</v>
      </c>
      <c r="C9" t="s">
        <v>23</v>
      </c>
      <c r="D9">
        <v>12.99</v>
      </c>
      <c r="E9">
        <v>554.27</v>
      </c>
      <c r="F9" t="s">
        <v>19</v>
      </c>
      <c r="G9" t="s">
        <v>24</v>
      </c>
      <c r="H9" t="s">
        <v>31</v>
      </c>
      <c r="I9" t="s">
        <v>29</v>
      </c>
    </row>
    <row r="10" spans="1:9" x14ac:dyDescent="0.25">
      <c r="A10">
        <v>10461</v>
      </c>
      <c r="B10" s="4" t="s">
        <v>30</v>
      </c>
      <c r="C10" t="s">
        <v>27</v>
      </c>
      <c r="D10">
        <v>9.9499999999999993</v>
      </c>
      <c r="E10">
        <v>201.01</v>
      </c>
      <c r="F10" t="s">
        <v>19</v>
      </c>
      <c r="G10" t="s">
        <v>24</v>
      </c>
      <c r="H10" t="s">
        <v>31</v>
      </c>
      <c r="I10" t="s">
        <v>29</v>
      </c>
    </row>
    <row r="11" spans="1:9" x14ac:dyDescent="0.25">
      <c r="A11">
        <v>10462</v>
      </c>
      <c r="B11" s="4" t="s">
        <v>30</v>
      </c>
      <c r="C11" t="s">
        <v>10</v>
      </c>
      <c r="D11">
        <v>3.49</v>
      </c>
      <c r="E11">
        <v>573.07000000000005</v>
      </c>
      <c r="F11" t="s">
        <v>19</v>
      </c>
      <c r="G11" t="s">
        <v>24</v>
      </c>
      <c r="H11" t="s">
        <v>32</v>
      </c>
      <c r="I11" t="s">
        <v>29</v>
      </c>
    </row>
    <row r="12" spans="1:9" x14ac:dyDescent="0.25">
      <c r="A12">
        <v>10463</v>
      </c>
      <c r="B12" s="4" t="s">
        <v>30</v>
      </c>
      <c r="C12" t="s">
        <v>15</v>
      </c>
      <c r="D12">
        <v>2.95</v>
      </c>
      <c r="E12">
        <v>677.97</v>
      </c>
      <c r="F12" t="s">
        <v>19</v>
      </c>
      <c r="G12" t="s">
        <v>24</v>
      </c>
      <c r="H12" t="s">
        <v>32</v>
      </c>
      <c r="I12" t="s">
        <v>29</v>
      </c>
    </row>
    <row r="13" spans="1:9" x14ac:dyDescent="0.25">
      <c r="A13">
        <v>10464</v>
      </c>
      <c r="B13" s="4" t="s">
        <v>30</v>
      </c>
      <c r="C13" t="s">
        <v>18</v>
      </c>
      <c r="D13">
        <v>4.99</v>
      </c>
      <c r="E13">
        <v>200.4</v>
      </c>
      <c r="F13" t="s">
        <v>19</v>
      </c>
      <c r="G13" t="s">
        <v>24</v>
      </c>
      <c r="H13" t="s">
        <v>33</v>
      </c>
      <c r="I13" t="s">
        <v>29</v>
      </c>
    </row>
    <row r="14" spans="1:9" x14ac:dyDescent="0.25">
      <c r="A14">
        <v>10465</v>
      </c>
      <c r="B14" s="4" t="s">
        <v>34</v>
      </c>
      <c r="C14" t="s">
        <v>23</v>
      </c>
      <c r="D14">
        <v>12.99</v>
      </c>
      <c r="E14">
        <v>554.27</v>
      </c>
      <c r="F14" t="s">
        <v>19</v>
      </c>
      <c r="G14" t="s">
        <v>24</v>
      </c>
      <c r="H14" t="s">
        <v>35</v>
      </c>
      <c r="I14" t="s">
        <v>17</v>
      </c>
    </row>
    <row r="15" spans="1:9" x14ac:dyDescent="0.25">
      <c r="A15">
        <v>10466</v>
      </c>
      <c r="B15" s="4" t="s">
        <v>34</v>
      </c>
      <c r="C15" t="s">
        <v>27</v>
      </c>
      <c r="D15">
        <v>9.9499999999999993</v>
      </c>
      <c r="E15">
        <v>201.01</v>
      </c>
      <c r="F15" t="s">
        <v>19</v>
      </c>
      <c r="G15" t="s">
        <v>24</v>
      </c>
      <c r="H15" t="s">
        <v>35</v>
      </c>
      <c r="I15" t="s">
        <v>17</v>
      </c>
    </row>
    <row r="16" spans="1:9" x14ac:dyDescent="0.25">
      <c r="A16">
        <v>10467</v>
      </c>
      <c r="B16" s="4" t="s">
        <v>34</v>
      </c>
      <c r="C16" t="s">
        <v>10</v>
      </c>
      <c r="D16">
        <v>3.49</v>
      </c>
      <c r="E16">
        <v>573.07000000000005</v>
      </c>
      <c r="F16" t="s">
        <v>19</v>
      </c>
      <c r="G16" t="s">
        <v>24</v>
      </c>
      <c r="H16" t="s">
        <v>35</v>
      </c>
      <c r="I16" t="s">
        <v>17</v>
      </c>
    </row>
    <row r="17" spans="1:9" x14ac:dyDescent="0.25">
      <c r="A17">
        <v>10468</v>
      </c>
      <c r="B17" s="4" t="s">
        <v>34</v>
      </c>
      <c r="C17" t="s">
        <v>15</v>
      </c>
      <c r="D17">
        <v>2.95</v>
      </c>
      <c r="E17">
        <v>677.97</v>
      </c>
      <c r="F17" t="s">
        <v>19</v>
      </c>
      <c r="G17" t="s">
        <v>24</v>
      </c>
      <c r="H17" t="s">
        <v>16</v>
      </c>
      <c r="I17" t="s">
        <v>17</v>
      </c>
    </row>
    <row r="18" spans="1:9" x14ac:dyDescent="0.25">
      <c r="A18">
        <v>10470</v>
      </c>
      <c r="B18" s="4" t="s">
        <v>36</v>
      </c>
      <c r="C18" t="s">
        <v>23</v>
      </c>
      <c r="D18">
        <v>12.99</v>
      </c>
      <c r="E18">
        <v>554.27</v>
      </c>
      <c r="F18" t="s">
        <v>19</v>
      </c>
      <c r="G18" t="s">
        <v>24</v>
      </c>
      <c r="H18" t="s">
        <v>16</v>
      </c>
      <c r="I18" t="s">
        <v>17</v>
      </c>
    </row>
    <row r="19" spans="1:9" x14ac:dyDescent="0.25">
      <c r="A19">
        <v>10471</v>
      </c>
      <c r="B19" s="4" t="s">
        <v>36</v>
      </c>
      <c r="C19" t="s">
        <v>27</v>
      </c>
      <c r="D19">
        <v>9.9499999999999993</v>
      </c>
      <c r="E19">
        <v>201.01</v>
      </c>
      <c r="F19" t="s">
        <v>19</v>
      </c>
      <c r="G19" t="s">
        <v>24</v>
      </c>
      <c r="H19" t="s">
        <v>16</v>
      </c>
      <c r="I19" t="s">
        <v>17</v>
      </c>
    </row>
    <row r="20" spans="1:9" x14ac:dyDescent="0.25">
      <c r="A20">
        <v>10472</v>
      </c>
      <c r="B20" s="4" t="s">
        <v>36</v>
      </c>
      <c r="C20" t="s">
        <v>10</v>
      </c>
      <c r="D20">
        <v>3.49</v>
      </c>
      <c r="E20">
        <v>630.37</v>
      </c>
      <c r="F20" t="s">
        <v>19</v>
      </c>
      <c r="G20" t="s">
        <v>24</v>
      </c>
      <c r="H20" t="s">
        <v>37</v>
      </c>
      <c r="I20" t="s">
        <v>17</v>
      </c>
    </row>
    <row r="21" spans="1:9" x14ac:dyDescent="0.25">
      <c r="A21">
        <v>10473</v>
      </c>
      <c r="B21" s="4" t="s">
        <v>36</v>
      </c>
      <c r="C21" t="s">
        <v>15</v>
      </c>
      <c r="D21">
        <v>2.95</v>
      </c>
      <c r="E21">
        <v>677.97</v>
      </c>
      <c r="F21" t="s">
        <v>19</v>
      </c>
      <c r="G21" t="s">
        <v>24</v>
      </c>
      <c r="H21" t="s">
        <v>16</v>
      </c>
      <c r="I21" t="s">
        <v>17</v>
      </c>
    </row>
    <row r="22" spans="1:9" x14ac:dyDescent="0.25">
      <c r="A22">
        <v>10474</v>
      </c>
      <c r="B22" s="4" t="s">
        <v>36</v>
      </c>
      <c r="C22" t="s">
        <v>18</v>
      </c>
      <c r="D22">
        <v>4.99</v>
      </c>
      <c r="E22">
        <v>200.4</v>
      </c>
      <c r="F22" t="s">
        <v>19</v>
      </c>
      <c r="G22" t="s">
        <v>24</v>
      </c>
      <c r="H22" t="s">
        <v>16</v>
      </c>
      <c r="I22" t="s">
        <v>17</v>
      </c>
    </row>
    <row r="23" spans="1:9" x14ac:dyDescent="0.25">
      <c r="A23">
        <v>10475</v>
      </c>
      <c r="B23" s="4" t="s">
        <v>38</v>
      </c>
      <c r="C23" t="s">
        <v>23</v>
      </c>
      <c r="D23">
        <v>12.99</v>
      </c>
      <c r="E23">
        <v>523.48</v>
      </c>
      <c r="F23" t="s">
        <v>19</v>
      </c>
      <c r="G23" t="s">
        <v>24</v>
      </c>
      <c r="H23" t="s">
        <v>16</v>
      </c>
      <c r="I23" t="s">
        <v>17</v>
      </c>
    </row>
    <row r="24" spans="1:9" x14ac:dyDescent="0.25">
      <c r="A24">
        <v>10476</v>
      </c>
      <c r="B24" s="4" t="s">
        <v>38</v>
      </c>
      <c r="C24" t="s">
        <v>27</v>
      </c>
      <c r="D24">
        <v>9.9499999999999993</v>
      </c>
      <c r="E24">
        <v>201.01</v>
      </c>
      <c r="F24" t="s">
        <v>19</v>
      </c>
      <c r="G24" t="s">
        <v>24</v>
      </c>
      <c r="H24" t="s">
        <v>35</v>
      </c>
      <c r="I24" t="s">
        <v>17</v>
      </c>
    </row>
    <row r="25" spans="1:9" x14ac:dyDescent="0.25">
      <c r="A25">
        <v>10477</v>
      </c>
      <c r="B25" s="4" t="s">
        <v>38</v>
      </c>
      <c r="C25" t="s">
        <v>10</v>
      </c>
      <c r="D25">
        <v>3.49</v>
      </c>
      <c r="E25">
        <v>630.37</v>
      </c>
      <c r="F25" t="s">
        <v>19</v>
      </c>
      <c r="G25" t="s">
        <v>24</v>
      </c>
      <c r="H25" t="s">
        <v>39</v>
      </c>
      <c r="I25" t="s">
        <v>17</v>
      </c>
    </row>
    <row r="26" spans="1:9" x14ac:dyDescent="0.25">
      <c r="A26">
        <v>10478</v>
      </c>
      <c r="B26" s="4" t="s">
        <v>38</v>
      </c>
      <c r="C26" t="s">
        <v>15</v>
      </c>
      <c r="D26">
        <v>2.95</v>
      </c>
      <c r="E26">
        <v>677.97</v>
      </c>
      <c r="F26" t="s">
        <v>19</v>
      </c>
      <c r="G26" t="s">
        <v>24</v>
      </c>
      <c r="H26" t="s">
        <v>35</v>
      </c>
      <c r="I26" t="s">
        <v>17</v>
      </c>
    </row>
    <row r="27" spans="1:9" x14ac:dyDescent="0.25">
      <c r="A27">
        <v>10479</v>
      </c>
      <c r="B27" s="4" t="s">
        <v>38</v>
      </c>
      <c r="C27" t="s">
        <v>18</v>
      </c>
      <c r="D27">
        <v>4.99</v>
      </c>
      <c r="E27">
        <v>200.4</v>
      </c>
      <c r="F27" t="s">
        <v>19</v>
      </c>
      <c r="G27" t="s">
        <v>24</v>
      </c>
      <c r="H27" t="s">
        <v>40</v>
      </c>
      <c r="I27" t="s">
        <v>17</v>
      </c>
    </row>
    <row r="28" spans="1:9" x14ac:dyDescent="0.25">
      <c r="A28">
        <v>10480</v>
      </c>
      <c r="B28" s="4" t="s">
        <v>41</v>
      </c>
      <c r="C28" t="s">
        <v>23</v>
      </c>
      <c r="D28">
        <v>12.99</v>
      </c>
      <c r="E28">
        <v>508.08</v>
      </c>
      <c r="F28" t="s">
        <v>19</v>
      </c>
      <c r="G28" t="s">
        <v>24</v>
      </c>
      <c r="H28" t="s">
        <v>35</v>
      </c>
      <c r="I28" t="s">
        <v>17</v>
      </c>
    </row>
    <row r="29" spans="1:9" x14ac:dyDescent="0.25">
      <c r="A29">
        <v>10481</v>
      </c>
      <c r="B29" s="4" t="s">
        <v>41</v>
      </c>
      <c r="C29" t="s">
        <v>27</v>
      </c>
      <c r="D29">
        <v>9.9499999999999993</v>
      </c>
      <c r="E29">
        <v>201.01</v>
      </c>
      <c r="F29" t="s">
        <v>19</v>
      </c>
      <c r="G29" t="s">
        <v>24</v>
      </c>
      <c r="H29" t="s">
        <v>35</v>
      </c>
      <c r="I29" t="s">
        <v>17</v>
      </c>
    </row>
    <row r="30" spans="1:9" x14ac:dyDescent="0.25">
      <c r="A30">
        <v>10482</v>
      </c>
      <c r="B30" s="4" t="s">
        <v>41</v>
      </c>
      <c r="C30" t="s">
        <v>10</v>
      </c>
      <c r="D30">
        <v>25.5</v>
      </c>
      <c r="E30">
        <v>630.37</v>
      </c>
      <c r="F30" t="s">
        <v>19</v>
      </c>
      <c r="G30" t="s">
        <v>24</v>
      </c>
      <c r="H30" t="s">
        <v>42</v>
      </c>
      <c r="I30" t="s">
        <v>21</v>
      </c>
    </row>
    <row r="31" spans="1:9" x14ac:dyDescent="0.25">
      <c r="A31">
        <v>10486</v>
      </c>
      <c r="B31" s="4" t="s">
        <v>43</v>
      </c>
      <c r="C31" t="s">
        <v>27</v>
      </c>
      <c r="D31">
        <v>29.05</v>
      </c>
      <c r="E31">
        <v>201.01</v>
      </c>
      <c r="F31" t="s">
        <v>19</v>
      </c>
      <c r="G31" t="s">
        <v>24</v>
      </c>
      <c r="H31" t="s">
        <v>20</v>
      </c>
      <c r="I31" t="s">
        <v>21</v>
      </c>
    </row>
    <row r="32" spans="1:9" x14ac:dyDescent="0.25">
      <c r="A32">
        <v>10487</v>
      </c>
      <c r="B32" s="4" t="s">
        <v>43</v>
      </c>
      <c r="C32" t="s">
        <v>10</v>
      </c>
      <c r="D32">
        <v>3.49</v>
      </c>
      <c r="E32">
        <v>630.37</v>
      </c>
      <c r="F32" t="s">
        <v>19</v>
      </c>
      <c r="G32" t="s">
        <v>24</v>
      </c>
      <c r="H32" t="s">
        <v>42</v>
      </c>
      <c r="I32" t="s">
        <v>21</v>
      </c>
    </row>
    <row r="33" spans="1:9" x14ac:dyDescent="0.25">
      <c r="A33">
        <v>10488</v>
      </c>
      <c r="B33" s="4" t="s">
        <v>43</v>
      </c>
      <c r="C33" t="s">
        <v>15</v>
      </c>
      <c r="D33">
        <v>2.95</v>
      </c>
      <c r="E33">
        <v>677.97</v>
      </c>
      <c r="F33" t="s">
        <v>19</v>
      </c>
      <c r="G33" t="s">
        <v>24</v>
      </c>
      <c r="H33" t="s">
        <v>42</v>
      </c>
      <c r="I33" t="s">
        <v>21</v>
      </c>
    </row>
    <row r="34" spans="1:9" x14ac:dyDescent="0.25">
      <c r="A34">
        <v>10489</v>
      </c>
      <c r="B34" s="4" t="s">
        <v>43</v>
      </c>
      <c r="C34" t="s">
        <v>18</v>
      </c>
      <c r="D34">
        <v>4.99</v>
      </c>
      <c r="E34">
        <v>200.4</v>
      </c>
      <c r="F34" t="s">
        <v>19</v>
      </c>
      <c r="G34" t="s">
        <v>24</v>
      </c>
      <c r="H34" t="s">
        <v>35</v>
      </c>
      <c r="I34" t="s">
        <v>17</v>
      </c>
    </row>
    <row r="35" spans="1:9" x14ac:dyDescent="0.25">
      <c r="A35">
        <v>10490</v>
      </c>
      <c r="B35" s="4" t="s">
        <v>44</v>
      </c>
      <c r="C35" t="s">
        <v>23</v>
      </c>
      <c r="D35">
        <v>12.99</v>
      </c>
      <c r="E35">
        <v>508.08</v>
      </c>
      <c r="F35" t="s">
        <v>19</v>
      </c>
      <c r="G35" t="s">
        <v>24</v>
      </c>
      <c r="H35" t="s">
        <v>35</v>
      </c>
      <c r="I35" t="s">
        <v>17</v>
      </c>
    </row>
    <row r="36" spans="1:9" x14ac:dyDescent="0.25">
      <c r="A36">
        <v>10491</v>
      </c>
      <c r="B36" s="4" t="s">
        <v>44</v>
      </c>
      <c r="C36" t="s">
        <v>27</v>
      </c>
      <c r="D36">
        <v>9.9499999999999993</v>
      </c>
      <c r="E36">
        <v>201.01</v>
      </c>
      <c r="F36" t="s">
        <v>19</v>
      </c>
      <c r="G36" t="s">
        <v>24</v>
      </c>
      <c r="H36" t="s">
        <v>35</v>
      </c>
      <c r="I36" t="s">
        <v>17</v>
      </c>
    </row>
    <row r="37" spans="1:9" x14ac:dyDescent="0.25">
      <c r="A37">
        <v>10492</v>
      </c>
      <c r="B37" s="4" t="s">
        <v>44</v>
      </c>
      <c r="C37" t="s">
        <v>10</v>
      </c>
      <c r="D37">
        <v>3.49</v>
      </c>
      <c r="E37">
        <v>573.07000000000005</v>
      </c>
      <c r="F37" t="s">
        <v>19</v>
      </c>
      <c r="G37" t="s">
        <v>24</v>
      </c>
      <c r="H37" t="s">
        <v>35</v>
      </c>
      <c r="I37" t="s">
        <v>17</v>
      </c>
    </row>
    <row r="38" spans="1:9" x14ac:dyDescent="0.25">
      <c r="A38">
        <v>10493</v>
      </c>
      <c r="B38" s="4" t="s">
        <v>44</v>
      </c>
      <c r="C38" t="s">
        <v>15</v>
      </c>
      <c r="D38">
        <v>2.95</v>
      </c>
      <c r="E38">
        <v>677.97</v>
      </c>
      <c r="F38" t="s">
        <v>19</v>
      </c>
      <c r="G38" t="s">
        <v>24</v>
      </c>
      <c r="H38" t="s">
        <v>35</v>
      </c>
      <c r="I38" t="s">
        <v>17</v>
      </c>
    </row>
    <row r="39" spans="1:9" x14ac:dyDescent="0.25">
      <c r="A39">
        <v>10494</v>
      </c>
      <c r="B39" s="4" t="s">
        <v>44</v>
      </c>
      <c r="C39" t="s">
        <v>18</v>
      </c>
      <c r="D39">
        <v>4.99</v>
      </c>
      <c r="E39">
        <v>200.4</v>
      </c>
      <c r="F39" t="s">
        <v>19</v>
      </c>
      <c r="G39" t="s">
        <v>24</v>
      </c>
      <c r="H39" t="s">
        <v>35</v>
      </c>
      <c r="I39" t="s">
        <v>17</v>
      </c>
    </row>
    <row r="40" spans="1:9" x14ac:dyDescent="0.25">
      <c r="A40">
        <v>10495</v>
      </c>
      <c r="B40" s="4" t="s">
        <v>45</v>
      </c>
      <c r="C40" t="s">
        <v>23</v>
      </c>
      <c r="D40">
        <v>12.99</v>
      </c>
      <c r="E40">
        <v>508.08</v>
      </c>
      <c r="F40" t="s">
        <v>19</v>
      </c>
      <c r="G40" t="s">
        <v>24</v>
      </c>
      <c r="H40" t="s">
        <v>35</v>
      </c>
      <c r="I40" t="s">
        <v>17</v>
      </c>
    </row>
    <row r="41" spans="1:9" x14ac:dyDescent="0.25">
      <c r="A41">
        <v>10496</v>
      </c>
      <c r="B41" s="4" t="s">
        <v>45</v>
      </c>
      <c r="C41" t="s">
        <v>27</v>
      </c>
      <c r="D41">
        <v>9.9499999999999993</v>
      </c>
      <c r="E41">
        <v>201.01</v>
      </c>
      <c r="F41" t="s">
        <v>19</v>
      </c>
      <c r="G41" t="s">
        <v>24</v>
      </c>
      <c r="H41" t="s">
        <v>35</v>
      </c>
      <c r="I41" t="s">
        <v>17</v>
      </c>
    </row>
    <row r="42" spans="1:9" x14ac:dyDescent="0.25">
      <c r="A42">
        <v>10497</v>
      </c>
      <c r="B42" s="4" t="s">
        <v>45</v>
      </c>
      <c r="C42" t="s">
        <v>10</v>
      </c>
      <c r="D42">
        <v>3.49</v>
      </c>
      <c r="E42">
        <v>573.07000000000005</v>
      </c>
      <c r="F42" t="s">
        <v>19</v>
      </c>
      <c r="G42" t="s">
        <v>24</v>
      </c>
      <c r="H42" t="s">
        <v>35</v>
      </c>
      <c r="I42" t="s">
        <v>17</v>
      </c>
    </row>
    <row r="43" spans="1:9" x14ac:dyDescent="0.25">
      <c r="A43">
        <v>10498</v>
      </c>
      <c r="B43" s="4" t="s">
        <v>45</v>
      </c>
      <c r="C43" t="s">
        <v>15</v>
      </c>
      <c r="D43">
        <v>2.95</v>
      </c>
      <c r="E43">
        <v>677.97</v>
      </c>
      <c r="F43" t="s">
        <v>46</v>
      </c>
      <c r="G43" t="s">
        <v>24</v>
      </c>
      <c r="H43" t="s">
        <v>35</v>
      </c>
      <c r="I43" t="s">
        <v>17</v>
      </c>
    </row>
    <row r="44" spans="1:9" x14ac:dyDescent="0.25">
      <c r="A44">
        <v>10499</v>
      </c>
      <c r="B44" s="4" t="s">
        <v>45</v>
      </c>
      <c r="C44" t="s">
        <v>18</v>
      </c>
      <c r="D44">
        <v>4.99</v>
      </c>
      <c r="E44">
        <v>200.4</v>
      </c>
      <c r="F44" t="s">
        <v>46</v>
      </c>
      <c r="G44" t="s">
        <v>24</v>
      </c>
      <c r="H44" t="s">
        <v>35</v>
      </c>
      <c r="I44" t="s">
        <v>17</v>
      </c>
    </row>
    <row r="45" spans="1:9" x14ac:dyDescent="0.25">
      <c r="A45">
        <v>10500</v>
      </c>
      <c r="B45" s="4" t="s">
        <v>47</v>
      </c>
      <c r="C45" t="s">
        <v>23</v>
      </c>
      <c r="D45">
        <v>12.99</v>
      </c>
      <c r="E45">
        <v>523.48</v>
      </c>
      <c r="F45" t="s">
        <v>46</v>
      </c>
      <c r="G45" t="s">
        <v>24</v>
      </c>
      <c r="H45" t="s">
        <v>35</v>
      </c>
      <c r="I45" t="s">
        <v>17</v>
      </c>
    </row>
    <row r="46" spans="1:9" x14ac:dyDescent="0.25">
      <c r="A46">
        <v>10501</v>
      </c>
      <c r="B46" s="4" t="s">
        <v>47</v>
      </c>
      <c r="C46" t="s">
        <v>27</v>
      </c>
      <c r="D46">
        <v>9.9499999999999993</v>
      </c>
      <c r="E46">
        <v>201.01</v>
      </c>
      <c r="F46" t="s">
        <v>46</v>
      </c>
      <c r="G46" t="s">
        <v>24</v>
      </c>
      <c r="H46" t="s">
        <v>35</v>
      </c>
      <c r="I46" t="s">
        <v>17</v>
      </c>
    </row>
    <row r="47" spans="1:9" x14ac:dyDescent="0.25">
      <c r="A47">
        <v>10502</v>
      </c>
      <c r="B47" s="4" t="s">
        <v>47</v>
      </c>
      <c r="C47" t="s">
        <v>10</v>
      </c>
      <c r="D47">
        <v>3.49</v>
      </c>
      <c r="E47">
        <v>630.37</v>
      </c>
      <c r="F47" t="s">
        <v>46</v>
      </c>
      <c r="G47" t="s">
        <v>24</v>
      </c>
      <c r="H47" t="s">
        <v>35</v>
      </c>
      <c r="I47" t="s">
        <v>17</v>
      </c>
    </row>
    <row r="48" spans="1:9" x14ac:dyDescent="0.25">
      <c r="A48">
        <v>10503</v>
      </c>
      <c r="B48" s="4" t="s">
        <v>47</v>
      </c>
      <c r="C48" t="s">
        <v>15</v>
      </c>
      <c r="D48">
        <v>2.95</v>
      </c>
      <c r="E48">
        <v>677.97</v>
      </c>
      <c r="F48" t="s">
        <v>46</v>
      </c>
      <c r="G48" t="s">
        <v>24</v>
      </c>
      <c r="H48" t="s">
        <v>35</v>
      </c>
      <c r="I48" t="s">
        <v>17</v>
      </c>
    </row>
    <row r="49" spans="1:9" x14ac:dyDescent="0.25">
      <c r="A49">
        <v>10504</v>
      </c>
      <c r="B49" s="4" t="s">
        <v>47</v>
      </c>
      <c r="C49" t="s">
        <v>18</v>
      </c>
      <c r="D49">
        <v>4.99</v>
      </c>
      <c r="E49">
        <v>200.4</v>
      </c>
      <c r="F49" t="s">
        <v>46</v>
      </c>
      <c r="G49" t="s">
        <v>24</v>
      </c>
      <c r="H49" t="s">
        <v>35</v>
      </c>
      <c r="I49" t="s">
        <v>17</v>
      </c>
    </row>
    <row r="50" spans="1:9" x14ac:dyDescent="0.25">
      <c r="A50">
        <v>10505</v>
      </c>
      <c r="B50" s="4" t="s">
        <v>48</v>
      </c>
      <c r="C50" t="s">
        <v>23</v>
      </c>
      <c r="D50">
        <v>12.99</v>
      </c>
      <c r="E50">
        <v>538.88</v>
      </c>
      <c r="F50" t="s">
        <v>46</v>
      </c>
      <c r="G50" t="s">
        <v>24</v>
      </c>
      <c r="H50" t="s">
        <v>35</v>
      </c>
      <c r="I50" t="s">
        <v>17</v>
      </c>
    </row>
    <row r="51" spans="1:9" x14ac:dyDescent="0.25">
      <c r="A51">
        <v>10506</v>
      </c>
      <c r="B51" s="4" t="s">
        <v>48</v>
      </c>
      <c r="C51" t="s">
        <v>27</v>
      </c>
      <c r="D51">
        <v>9.9499999999999993</v>
      </c>
      <c r="E51">
        <v>201.01</v>
      </c>
      <c r="F51" t="s">
        <v>46</v>
      </c>
      <c r="G51" t="s">
        <v>24</v>
      </c>
      <c r="H51" t="s">
        <v>35</v>
      </c>
      <c r="I51" t="s">
        <v>17</v>
      </c>
    </row>
    <row r="52" spans="1:9" x14ac:dyDescent="0.25">
      <c r="A52">
        <v>10507</v>
      </c>
      <c r="B52" s="4" t="s">
        <v>48</v>
      </c>
      <c r="C52" t="s">
        <v>10</v>
      </c>
      <c r="D52">
        <v>3.49</v>
      </c>
      <c r="E52">
        <v>687.68</v>
      </c>
      <c r="F52" t="s">
        <v>46</v>
      </c>
      <c r="G52" t="s">
        <v>24</v>
      </c>
      <c r="H52" t="s">
        <v>35</v>
      </c>
      <c r="I52" t="s">
        <v>17</v>
      </c>
    </row>
    <row r="53" spans="1:9" x14ac:dyDescent="0.25">
      <c r="A53">
        <v>10508</v>
      </c>
      <c r="B53" s="4" t="s">
        <v>48</v>
      </c>
      <c r="C53" t="s">
        <v>15</v>
      </c>
      <c r="D53">
        <v>2.95</v>
      </c>
      <c r="E53">
        <v>677.97</v>
      </c>
      <c r="F53" t="s">
        <v>46</v>
      </c>
      <c r="G53" t="s">
        <v>24</v>
      </c>
      <c r="H53" t="s">
        <v>35</v>
      </c>
      <c r="I53" t="s">
        <v>17</v>
      </c>
    </row>
    <row r="54" spans="1:9" x14ac:dyDescent="0.25">
      <c r="A54">
        <v>10509</v>
      </c>
      <c r="B54" s="4" t="s">
        <v>48</v>
      </c>
      <c r="C54" t="s">
        <v>18</v>
      </c>
      <c r="D54">
        <v>4.99</v>
      </c>
      <c r="E54">
        <v>200.4</v>
      </c>
      <c r="F54" t="s">
        <v>46</v>
      </c>
      <c r="G54" t="s">
        <v>24</v>
      </c>
      <c r="H54" t="s">
        <v>35</v>
      </c>
      <c r="I54" t="s">
        <v>17</v>
      </c>
    </row>
    <row r="55" spans="1:9" x14ac:dyDescent="0.25">
      <c r="A55">
        <v>10510</v>
      </c>
      <c r="B55" s="4" t="s">
        <v>49</v>
      </c>
      <c r="C55" t="s">
        <v>23</v>
      </c>
      <c r="D55">
        <v>12.99</v>
      </c>
      <c r="E55">
        <v>508.08</v>
      </c>
      <c r="F55" t="s">
        <v>46</v>
      </c>
      <c r="G55" t="s">
        <v>24</v>
      </c>
      <c r="H55" t="s">
        <v>35</v>
      </c>
      <c r="I55" t="s">
        <v>17</v>
      </c>
    </row>
    <row r="56" spans="1:9" x14ac:dyDescent="0.25">
      <c r="A56">
        <v>10511</v>
      </c>
      <c r="B56" s="4" t="s">
        <v>49</v>
      </c>
      <c r="C56" t="s">
        <v>27</v>
      </c>
      <c r="D56">
        <v>9.9499999999999993</v>
      </c>
      <c r="E56">
        <v>201.01</v>
      </c>
      <c r="F56" t="s">
        <v>46</v>
      </c>
      <c r="G56" t="s">
        <v>24</v>
      </c>
      <c r="H56" t="s">
        <v>42</v>
      </c>
      <c r="I56" t="s">
        <v>21</v>
      </c>
    </row>
    <row r="57" spans="1:9" x14ac:dyDescent="0.25">
      <c r="A57">
        <v>10512</v>
      </c>
      <c r="B57" s="4" t="s">
        <v>49</v>
      </c>
      <c r="C57" t="s">
        <v>10</v>
      </c>
      <c r="D57">
        <v>3.49</v>
      </c>
      <c r="E57">
        <v>687.68</v>
      </c>
      <c r="F57" t="s">
        <v>46</v>
      </c>
      <c r="G57" t="s">
        <v>24</v>
      </c>
      <c r="H57" t="s">
        <v>42</v>
      </c>
      <c r="I57" t="s">
        <v>21</v>
      </c>
    </row>
    <row r="58" spans="1:9" x14ac:dyDescent="0.25">
      <c r="A58">
        <v>10513</v>
      </c>
      <c r="B58" s="4" t="s">
        <v>49</v>
      </c>
      <c r="C58" t="s">
        <v>15</v>
      </c>
      <c r="D58">
        <v>2.95</v>
      </c>
      <c r="E58">
        <v>677.97</v>
      </c>
      <c r="F58" t="s">
        <v>46</v>
      </c>
      <c r="G58" t="s">
        <v>50</v>
      </c>
      <c r="H58" t="s">
        <v>42</v>
      </c>
      <c r="I58" t="s">
        <v>21</v>
      </c>
    </row>
    <row r="59" spans="1:9" x14ac:dyDescent="0.25">
      <c r="A59">
        <v>10514</v>
      </c>
      <c r="B59" s="4" t="s">
        <v>49</v>
      </c>
      <c r="C59" t="s">
        <v>18</v>
      </c>
      <c r="D59">
        <v>4.99</v>
      </c>
      <c r="E59">
        <v>200.4</v>
      </c>
      <c r="F59" t="s">
        <v>46</v>
      </c>
      <c r="G59" t="s">
        <v>50</v>
      </c>
      <c r="H59" t="s">
        <v>42</v>
      </c>
      <c r="I59" t="s">
        <v>21</v>
      </c>
    </row>
    <row r="60" spans="1:9" x14ac:dyDescent="0.25">
      <c r="A60">
        <v>10515</v>
      </c>
      <c r="B60" s="4" t="s">
        <v>51</v>
      </c>
      <c r="C60" t="s">
        <v>23</v>
      </c>
      <c r="D60">
        <v>12.99</v>
      </c>
      <c r="E60">
        <v>477.29</v>
      </c>
      <c r="F60" t="s">
        <v>46</v>
      </c>
      <c r="G60" t="s">
        <v>50</v>
      </c>
      <c r="H60" t="s">
        <v>42</v>
      </c>
      <c r="I60" t="s">
        <v>21</v>
      </c>
    </row>
    <row r="61" spans="1:9" x14ac:dyDescent="0.25">
      <c r="A61">
        <v>10516</v>
      </c>
      <c r="B61" s="4" t="s">
        <v>51</v>
      </c>
      <c r="C61" t="s">
        <v>27</v>
      </c>
      <c r="D61">
        <v>9.9499999999999993</v>
      </c>
      <c r="E61">
        <v>201.01</v>
      </c>
      <c r="F61" t="s">
        <v>46</v>
      </c>
      <c r="G61" t="s">
        <v>50</v>
      </c>
      <c r="H61" t="s">
        <v>42</v>
      </c>
      <c r="I61" t="s">
        <v>21</v>
      </c>
    </row>
    <row r="62" spans="1:9" x14ac:dyDescent="0.25">
      <c r="A62">
        <v>10483</v>
      </c>
      <c r="B62" s="4" t="s">
        <v>41</v>
      </c>
      <c r="C62" t="s">
        <v>15</v>
      </c>
      <c r="D62">
        <v>2.95</v>
      </c>
      <c r="E62">
        <v>677.97</v>
      </c>
      <c r="F62" t="s">
        <v>19</v>
      </c>
      <c r="G62" t="s">
        <v>24</v>
      </c>
      <c r="H62" t="s">
        <v>20</v>
      </c>
      <c r="I62" t="s">
        <v>21</v>
      </c>
    </row>
    <row r="63" spans="1:9" x14ac:dyDescent="0.25">
      <c r="A63">
        <v>10484</v>
      </c>
      <c r="B63" s="4" t="s">
        <v>41</v>
      </c>
      <c r="C63" t="s">
        <v>18</v>
      </c>
      <c r="D63">
        <v>4.99</v>
      </c>
      <c r="E63">
        <v>200.4</v>
      </c>
      <c r="F63" t="s">
        <v>19</v>
      </c>
      <c r="G63" t="s">
        <v>24</v>
      </c>
      <c r="H63" t="s">
        <v>20</v>
      </c>
      <c r="I63" t="s">
        <v>21</v>
      </c>
    </row>
    <row r="64" spans="1:9" x14ac:dyDescent="0.25">
      <c r="A64">
        <v>10485</v>
      </c>
      <c r="B64" s="4" t="s">
        <v>43</v>
      </c>
      <c r="C64" t="s">
        <v>23</v>
      </c>
      <c r="D64">
        <v>12.99</v>
      </c>
      <c r="E64">
        <v>523.48</v>
      </c>
      <c r="F64" t="s">
        <v>19</v>
      </c>
      <c r="G64" t="s">
        <v>24</v>
      </c>
      <c r="H64" t="s">
        <v>20</v>
      </c>
      <c r="I64" t="s">
        <v>21</v>
      </c>
    </row>
    <row r="65" spans="1:9" x14ac:dyDescent="0.25">
      <c r="A65">
        <v>10520</v>
      </c>
      <c r="B65" s="4" t="s">
        <v>52</v>
      </c>
      <c r="C65" t="s">
        <v>23</v>
      </c>
      <c r="D65">
        <v>12.99</v>
      </c>
      <c r="E65">
        <v>492.69</v>
      </c>
      <c r="F65" t="s">
        <v>46</v>
      </c>
      <c r="G65" t="s">
        <v>50</v>
      </c>
      <c r="H65" t="s">
        <v>31</v>
      </c>
      <c r="I65" t="s">
        <v>29</v>
      </c>
    </row>
    <row r="66" spans="1:9" x14ac:dyDescent="0.25">
      <c r="A66">
        <v>10521</v>
      </c>
      <c r="B66" s="4" t="s">
        <v>52</v>
      </c>
      <c r="C66" t="s">
        <v>27</v>
      </c>
      <c r="D66">
        <v>9.9499999999999993</v>
      </c>
      <c r="E66">
        <v>201.01</v>
      </c>
      <c r="F66" t="s">
        <v>46</v>
      </c>
      <c r="G66" t="s">
        <v>50</v>
      </c>
      <c r="H66" t="s">
        <v>31</v>
      </c>
      <c r="I66" t="s">
        <v>29</v>
      </c>
    </row>
    <row r="67" spans="1:9" x14ac:dyDescent="0.25">
      <c r="A67">
        <v>10522</v>
      </c>
      <c r="B67" s="4" t="s">
        <v>52</v>
      </c>
      <c r="C67" t="s">
        <v>10</v>
      </c>
      <c r="D67">
        <v>3.49</v>
      </c>
      <c r="E67">
        <v>687.68</v>
      </c>
      <c r="F67" t="s">
        <v>46</v>
      </c>
      <c r="G67" t="s">
        <v>50</v>
      </c>
      <c r="H67" t="s">
        <v>31</v>
      </c>
      <c r="I67" t="s">
        <v>29</v>
      </c>
    </row>
    <row r="68" spans="1:9" x14ac:dyDescent="0.25">
      <c r="A68">
        <v>10523</v>
      </c>
      <c r="B68" s="4" t="s">
        <v>52</v>
      </c>
      <c r="C68" t="s">
        <v>15</v>
      </c>
      <c r="D68">
        <v>2.95</v>
      </c>
      <c r="E68">
        <v>745.76</v>
      </c>
      <c r="F68" t="s">
        <v>46</v>
      </c>
      <c r="G68" t="s">
        <v>50</v>
      </c>
      <c r="H68" t="s">
        <v>31</v>
      </c>
      <c r="I68" t="s">
        <v>29</v>
      </c>
    </row>
    <row r="69" spans="1:9" x14ac:dyDescent="0.25">
      <c r="A69">
        <v>10524</v>
      </c>
      <c r="B69" s="4" t="s">
        <v>52</v>
      </c>
      <c r="C69" t="s">
        <v>18</v>
      </c>
      <c r="D69">
        <v>4.99</v>
      </c>
      <c r="E69">
        <v>200.4</v>
      </c>
      <c r="F69" t="s">
        <v>46</v>
      </c>
      <c r="G69" t="s">
        <v>50</v>
      </c>
      <c r="H69" t="s">
        <v>31</v>
      </c>
      <c r="I69" t="s">
        <v>29</v>
      </c>
    </row>
    <row r="70" spans="1:9" x14ac:dyDescent="0.25">
      <c r="A70">
        <v>10525</v>
      </c>
      <c r="B70" s="4" t="s">
        <v>53</v>
      </c>
      <c r="C70" t="s">
        <v>23</v>
      </c>
      <c r="D70">
        <v>12.99</v>
      </c>
      <c r="E70">
        <v>461.89</v>
      </c>
      <c r="F70" t="s">
        <v>46</v>
      </c>
      <c r="G70" t="s">
        <v>50</v>
      </c>
      <c r="H70" t="s">
        <v>31</v>
      </c>
      <c r="I70" t="s">
        <v>29</v>
      </c>
    </row>
    <row r="71" spans="1:9" x14ac:dyDescent="0.25">
      <c r="A71">
        <v>10526</v>
      </c>
      <c r="B71" s="4" t="s">
        <v>53</v>
      </c>
      <c r="C71" t="s">
        <v>27</v>
      </c>
      <c r="D71">
        <v>9.9499999999999993</v>
      </c>
      <c r="E71">
        <v>201.01</v>
      </c>
      <c r="F71" t="s">
        <v>46</v>
      </c>
      <c r="G71" t="s">
        <v>50</v>
      </c>
      <c r="H71" t="s">
        <v>31</v>
      </c>
      <c r="I71" t="s">
        <v>29</v>
      </c>
    </row>
    <row r="72" spans="1:9" x14ac:dyDescent="0.25">
      <c r="A72">
        <v>10527</v>
      </c>
      <c r="B72" s="4" t="s">
        <v>53</v>
      </c>
      <c r="C72" t="s">
        <v>10</v>
      </c>
      <c r="D72">
        <v>3.49</v>
      </c>
      <c r="E72">
        <v>687.68</v>
      </c>
      <c r="F72" t="s">
        <v>46</v>
      </c>
      <c r="G72" t="s">
        <v>50</v>
      </c>
      <c r="H72" t="s">
        <v>31</v>
      </c>
      <c r="I72" t="s">
        <v>29</v>
      </c>
    </row>
    <row r="73" spans="1:9" x14ac:dyDescent="0.25">
      <c r="A73">
        <v>10528</v>
      </c>
      <c r="B73" s="4" t="s">
        <v>53</v>
      </c>
      <c r="C73" t="s">
        <v>15</v>
      </c>
      <c r="D73">
        <v>2.95</v>
      </c>
      <c r="E73">
        <v>745.76</v>
      </c>
      <c r="F73" t="s">
        <v>46</v>
      </c>
      <c r="G73" t="s">
        <v>50</v>
      </c>
      <c r="H73" t="s">
        <v>31</v>
      </c>
      <c r="I73" t="s">
        <v>29</v>
      </c>
    </row>
    <row r="74" spans="1:9" x14ac:dyDescent="0.25">
      <c r="A74">
        <v>10529</v>
      </c>
      <c r="B74" s="4" t="s">
        <v>53</v>
      </c>
      <c r="C74" t="s">
        <v>18</v>
      </c>
      <c r="D74">
        <v>4.99</v>
      </c>
      <c r="E74">
        <v>200.4</v>
      </c>
      <c r="F74" t="s">
        <v>46</v>
      </c>
      <c r="G74" t="s">
        <v>50</v>
      </c>
      <c r="H74" t="s">
        <v>31</v>
      </c>
      <c r="I74" t="s">
        <v>29</v>
      </c>
    </row>
    <row r="75" spans="1:9" x14ac:dyDescent="0.25">
      <c r="A75">
        <v>10530</v>
      </c>
      <c r="B75" s="4" t="s">
        <v>54</v>
      </c>
      <c r="C75" t="s">
        <v>23</v>
      </c>
      <c r="D75">
        <v>12.99</v>
      </c>
      <c r="E75">
        <v>477.29</v>
      </c>
      <c r="F75" t="s">
        <v>46</v>
      </c>
      <c r="G75" t="s">
        <v>50</v>
      </c>
      <c r="H75" t="s">
        <v>31</v>
      </c>
      <c r="I75" t="s">
        <v>29</v>
      </c>
    </row>
    <row r="76" spans="1:9" x14ac:dyDescent="0.25">
      <c r="A76">
        <v>10531</v>
      </c>
      <c r="B76" s="4" t="s">
        <v>54</v>
      </c>
      <c r="C76" t="s">
        <v>27</v>
      </c>
      <c r="D76">
        <v>9.9499999999999993</v>
      </c>
      <c r="E76">
        <v>201.01</v>
      </c>
      <c r="F76" t="s">
        <v>46</v>
      </c>
      <c r="G76" t="s">
        <v>50</v>
      </c>
      <c r="H76" t="s">
        <v>31</v>
      </c>
      <c r="I76" t="s">
        <v>29</v>
      </c>
    </row>
    <row r="77" spans="1:9" x14ac:dyDescent="0.25">
      <c r="A77">
        <v>10532</v>
      </c>
      <c r="B77" s="4" t="s">
        <v>54</v>
      </c>
      <c r="C77" t="s">
        <v>10</v>
      </c>
      <c r="D77">
        <v>3.49</v>
      </c>
      <c r="E77">
        <v>687.68</v>
      </c>
      <c r="F77" t="s">
        <v>46</v>
      </c>
      <c r="G77" t="s">
        <v>50</v>
      </c>
      <c r="H77" t="s">
        <v>42</v>
      </c>
      <c r="I77" t="s">
        <v>21</v>
      </c>
    </row>
    <row r="78" spans="1:9" x14ac:dyDescent="0.25">
      <c r="A78">
        <v>10533</v>
      </c>
      <c r="B78" s="4" t="s">
        <v>54</v>
      </c>
      <c r="C78" t="s">
        <v>15</v>
      </c>
      <c r="D78">
        <v>2.95</v>
      </c>
      <c r="E78">
        <v>745.76</v>
      </c>
      <c r="F78" t="s">
        <v>46</v>
      </c>
      <c r="G78" t="s">
        <v>50</v>
      </c>
      <c r="H78" t="s">
        <v>42</v>
      </c>
      <c r="I78" t="s">
        <v>21</v>
      </c>
    </row>
    <row r="79" spans="1:9" x14ac:dyDescent="0.25">
      <c r="A79">
        <v>10534</v>
      </c>
      <c r="B79" s="4" t="s">
        <v>54</v>
      </c>
      <c r="C79" t="s">
        <v>18</v>
      </c>
      <c r="D79">
        <v>4.99</v>
      </c>
      <c r="E79">
        <v>200.4</v>
      </c>
      <c r="F79" t="s">
        <v>46</v>
      </c>
      <c r="G79" t="s">
        <v>50</v>
      </c>
      <c r="H79" t="s">
        <v>35</v>
      </c>
      <c r="I79" t="s">
        <v>17</v>
      </c>
    </row>
    <row r="80" spans="1:9" x14ac:dyDescent="0.25">
      <c r="A80">
        <v>10535</v>
      </c>
      <c r="B80" s="4" t="s">
        <v>55</v>
      </c>
      <c r="C80" t="s">
        <v>23</v>
      </c>
      <c r="D80">
        <v>12.99</v>
      </c>
      <c r="E80">
        <v>477.29</v>
      </c>
      <c r="F80" t="s">
        <v>46</v>
      </c>
      <c r="G80" t="s">
        <v>24</v>
      </c>
      <c r="H80" t="s">
        <v>35</v>
      </c>
      <c r="I80" t="s">
        <v>17</v>
      </c>
    </row>
    <row r="81" spans="1:9" x14ac:dyDescent="0.25">
      <c r="A81">
        <v>10536</v>
      </c>
      <c r="B81" s="4" t="s">
        <v>55</v>
      </c>
      <c r="C81" t="s">
        <v>27</v>
      </c>
      <c r="D81">
        <v>9.9499999999999993</v>
      </c>
      <c r="E81">
        <v>201.01</v>
      </c>
      <c r="F81" t="s">
        <v>46</v>
      </c>
      <c r="G81" t="s">
        <v>24</v>
      </c>
      <c r="H81" t="s">
        <v>35</v>
      </c>
      <c r="I81" t="s">
        <v>17</v>
      </c>
    </row>
    <row r="82" spans="1:9" x14ac:dyDescent="0.25">
      <c r="A82">
        <v>10540</v>
      </c>
      <c r="B82" s="4" t="s">
        <v>56</v>
      </c>
      <c r="C82" t="s">
        <v>23</v>
      </c>
      <c r="D82">
        <v>12.99</v>
      </c>
      <c r="E82">
        <v>461.89</v>
      </c>
      <c r="F82" t="s">
        <v>46</v>
      </c>
      <c r="G82" t="s">
        <v>24</v>
      </c>
      <c r="H82" t="s">
        <v>35</v>
      </c>
      <c r="I82" t="s">
        <v>17</v>
      </c>
    </row>
    <row r="83" spans="1:9" x14ac:dyDescent="0.25">
      <c r="A83">
        <v>10541</v>
      </c>
      <c r="B83" s="4" t="s">
        <v>56</v>
      </c>
      <c r="C83" t="s">
        <v>27</v>
      </c>
      <c r="D83">
        <v>9.9499999999999993</v>
      </c>
      <c r="E83">
        <v>201.01</v>
      </c>
      <c r="F83" t="s">
        <v>46</v>
      </c>
      <c r="G83" t="s">
        <v>24</v>
      </c>
      <c r="H83" t="s">
        <v>57</v>
      </c>
      <c r="I83" t="s">
        <v>14</v>
      </c>
    </row>
    <row r="84" spans="1:9" x14ac:dyDescent="0.25">
      <c r="A84">
        <v>10542</v>
      </c>
      <c r="B84" s="4" t="s">
        <v>56</v>
      </c>
      <c r="C84" t="s">
        <v>10</v>
      </c>
      <c r="D84">
        <v>3.49</v>
      </c>
      <c r="E84">
        <v>630.37</v>
      </c>
      <c r="F84" t="s">
        <v>46</v>
      </c>
      <c r="G84" t="s">
        <v>24</v>
      </c>
      <c r="H84" t="s">
        <v>57</v>
      </c>
      <c r="I84" t="s">
        <v>14</v>
      </c>
    </row>
    <row r="85" spans="1:9" x14ac:dyDescent="0.25">
      <c r="A85">
        <v>10543</v>
      </c>
      <c r="B85" s="4" t="s">
        <v>56</v>
      </c>
      <c r="C85" t="s">
        <v>15</v>
      </c>
      <c r="D85">
        <v>2.95</v>
      </c>
      <c r="E85">
        <v>745.76</v>
      </c>
      <c r="F85" t="s">
        <v>46</v>
      </c>
      <c r="G85" t="s">
        <v>24</v>
      </c>
      <c r="H85" t="s">
        <v>57</v>
      </c>
      <c r="I85" t="s">
        <v>14</v>
      </c>
    </row>
    <row r="86" spans="1:9" x14ac:dyDescent="0.25">
      <c r="A86">
        <v>10544</v>
      </c>
      <c r="B86" s="4" t="s">
        <v>56</v>
      </c>
      <c r="C86" t="s">
        <v>18</v>
      </c>
      <c r="D86">
        <v>4.99</v>
      </c>
      <c r="E86">
        <v>200.4</v>
      </c>
      <c r="F86" t="s">
        <v>46</v>
      </c>
      <c r="G86" t="s">
        <v>24</v>
      </c>
      <c r="H86" t="s">
        <v>57</v>
      </c>
      <c r="I86" t="s">
        <v>14</v>
      </c>
    </row>
    <row r="87" spans="1:9" x14ac:dyDescent="0.25">
      <c r="A87">
        <v>10545</v>
      </c>
      <c r="B87" s="4" t="s">
        <v>58</v>
      </c>
      <c r="C87" t="s">
        <v>23</v>
      </c>
      <c r="D87">
        <v>12.99</v>
      </c>
      <c r="E87">
        <v>446.5</v>
      </c>
      <c r="F87" t="s">
        <v>46</v>
      </c>
      <c r="G87" t="s">
        <v>24</v>
      </c>
      <c r="H87" t="s">
        <v>57</v>
      </c>
      <c r="I87" t="s">
        <v>14</v>
      </c>
    </row>
    <row r="88" spans="1:9" x14ac:dyDescent="0.25">
      <c r="A88">
        <v>10546</v>
      </c>
      <c r="B88" s="4" t="s">
        <v>58</v>
      </c>
      <c r="C88" t="s">
        <v>27</v>
      </c>
      <c r="D88">
        <v>9.9499999999999993</v>
      </c>
      <c r="E88">
        <v>201.01</v>
      </c>
      <c r="F88" t="s">
        <v>46</v>
      </c>
      <c r="G88" t="s">
        <v>24</v>
      </c>
      <c r="H88" t="s">
        <v>57</v>
      </c>
      <c r="I88" t="s">
        <v>14</v>
      </c>
    </row>
    <row r="89" spans="1:9" x14ac:dyDescent="0.25">
      <c r="A89">
        <v>10547</v>
      </c>
      <c r="B89" s="4" t="s">
        <v>58</v>
      </c>
      <c r="C89" t="s">
        <v>10</v>
      </c>
      <c r="D89">
        <v>3.49</v>
      </c>
      <c r="E89">
        <v>630.37</v>
      </c>
      <c r="F89" t="s">
        <v>46</v>
      </c>
      <c r="G89" t="s">
        <v>24</v>
      </c>
      <c r="H89" t="s">
        <v>57</v>
      </c>
      <c r="I89" t="s">
        <v>14</v>
      </c>
    </row>
    <row r="90" spans="1:9" x14ac:dyDescent="0.25">
      <c r="A90">
        <v>10548</v>
      </c>
      <c r="B90" s="4" t="s">
        <v>58</v>
      </c>
      <c r="C90" t="s">
        <v>15</v>
      </c>
      <c r="D90">
        <v>2.95</v>
      </c>
      <c r="E90">
        <v>745.76</v>
      </c>
      <c r="F90" t="s">
        <v>46</v>
      </c>
      <c r="G90" t="s">
        <v>24</v>
      </c>
      <c r="H90" t="s">
        <v>57</v>
      </c>
      <c r="I90" t="s">
        <v>14</v>
      </c>
    </row>
    <row r="91" spans="1:9" x14ac:dyDescent="0.25">
      <c r="A91">
        <v>10549</v>
      </c>
      <c r="B91" s="4" t="s">
        <v>58</v>
      </c>
      <c r="C91" t="s">
        <v>18</v>
      </c>
      <c r="D91">
        <v>4.99</v>
      </c>
      <c r="E91">
        <v>200.4</v>
      </c>
      <c r="F91" t="s">
        <v>46</v>
      </c>
      <c r="G91" t="s">
        <v>24</v>
      </c>
      <c r="H91" t="s">
        <v>57</v>
      </c>
      <c r="I91" t="s">
        <v>14</v>
      </c>
    </row>
    <row r="92" spans="1:9" x14ac:dyDescent="0.25">
      <c r="A92">
        <v>10550</v>
      </c>
      <c r="B92" s="4" t="s">
        <v>59</v>
      </c>
      <c r="C92" t="s">
        <v>23</v>
      </c>
      <c r="D92">
        <v>12.99</v>
      </c>
      <c r="E92">
        <v>461.89</v>
      </c>
      <c r="F92" t="s">
        <v>46</v>
      </c>
      <c r="G92" t="s">
        <v>24</v>
      </c>
      <c r="H92" t="s">
        <v>57</v>
      </c>
      <c r="I92" t="s">
        <v>14</v>
      </c>
    </row>
    <row r="93" spans="1:9" x14ac:dyDescent="0.25">
      <c r="A93">
        <v>10551</v>
      </c>
      <c r="B93" s="4" t="s">
        <v>59</v>
      </c>
      <c r="C93" t="s">
        <v>27</v>
      </c>
      <c r="D93">
        <v>9.9499999999999993</v>
      </c>
      <c r="E93">
        <v>201.01</v>
      </c>
      <c r="F93" t="s">
        <v>46</v>
      </c>
      <c r="G93" t="s">
        <v>24</v>
      </c>
      <c r="H93" t="s">
        <v>57</v>
      </c>
      <c r="I93" t="s">
        <v>14</v>
      </c>
    </row>
    <row r="94" spans="1:9" x14ac:dyDescent="0.25">
      <c r="A94">
        <v>10552</v>
      </c>
      <c r="B94" s="4" t="s">
        <v>59</v>
      </c>
      <c r="C94" t="s">
        <v>10</v>
      </c>
      <c r="D94">
        <v>3.49</v>
      </c>
      <c r="E94">
        <v>630.37</v>
      </c>
      <c r="F94" t="s">
        <v>11</v>
      </c>
      <c r="G94" t="s">
        <v>24</v>
      </c>
      <c r="H94" t="s">
        <v>57</v>
      </c>
      <c r="I94" t="s">
        <v>14</v>
      </c>
    </row>
    <row r="95" spans="1:9" x14ac:dyDescent="0.25">
      <c r="A95">
        <v>10553</v>
      </c>
      <c r="B95" s="4" t="s">
        <v>59</v>
      </c>
      <c r="C95" t="s">
        <v>15</v>
      </c>
      <c r="D95">
        <v>2.95</v>
      </c>
      <c r="E95">
        <v>745.76</v>
      </c>
      <c r="F95" t="s">
        <v>11</v>
      </c>
      <c r="G95" t="s">
        <v>24</v>
      </c>
      <c r="H95" t="s">
        <v>57</v>
      </c>
      <c r="I95" t="s">
        <v>14</v>
      </c>
    </row>
    <row r="96" spans="1:9" x14ac:dyDescent="0.25">
      <c r="A96">
        <v>10554</v>
      </c>
      <c r="B96" s="4" t="s">
        <v>59</v>
      </c>
      <c r="C96" t="s">
        <v>18</v>
      </c>
      <c r="D96">
        <v>4.99</v>
      </c>
      <c r="E96">
        <v>200.4</v>
      </c>
      <c r="F96" t="s">
        <v>11</v>
      </c>
      <c r="G96" t="s">
        <v>24</v>
      </c>
      <c r="H96" t="s">
        <v>57</v>
      </c>
      <c r="I96" t="s">
        <v>14</v>
      </c>
    </row>
    <row r="97" spans="1:9" x14ac:dyDescent="0.25">
      <c r="A97">
        <v>10555</v>
      </c>
      <c r="B97" s="4" t="s">
        <v>60</v>
      </c>
      <c r="C97" t="s">
        <v>23</v>
      </c>
      <c r="D97">
        <v>12.99</v>
      </c>
      <c r="E97">
        <v>477.29</v>
      </c>
      <c r="F97" t="s">
        <v>11</v>
      </c>
      <c r="G97" t="s">
        <v>24</v>
      </c>
      <c r="H97" t="s">
        <v>57</v>
      </c>
      <c r="I97" t="s">
        <v>14</v>
      </c>
    </row>
    <row r="98" spans="1:9" x14ac:dyDescent="0.25">
      <c r="A98">
        <v>10556</v>
      </c>
      <c r="B98" s="4" t="s">
        <v>60</v>
      </c>
      <c r="C98" t="s">
        <v>27</v>
      </c>
      <c r="D98">
        <v>9.9499999999999993</v>
      </c>
      <c r="E98">
        <v>201.01</v>
      </c>
      <c r="F98" t="s">
        <v>11</v>
      </c>
      <c r="G98" t="s">
        <v>24</v>
      </c>
      <c r="H98" t="s">
        <v>57</v>
      </c>
      <c r="I98" t="s">
        <v>14</v>
      </c>
    </row>
    <row r="99" spans="1:9" x14ac:dyDescent="0.25">
      <c r="A99">
        <v>10557</v>
      </c>
      <c r="B99" s="4" t="s">
        <v>60</v>
      </c>
      <c r="C99" t="s">
        <v>10</v>
      </c>
      <c r="D99">
        <v>3.49</v>
      </c>
      <c r="E99">
        <v>630.37</v>
      </c>
      <c r="F99" t="s">
        <v>11</v>
      </c>
      <c r="G99" t="s">
        <v>24</v>
      </c>
      <c r="H99" t="s">
        <v>57</v>
      </c>
      <c r="I99" t="s">
        <v>14</v>
      </c>
    </row>
    <row r="100" spans="1:9" x14ac:dyDescent="0.25">
      <c r="A100">
        <v>10558</v>
      </c>
      <c r="B100" s="4" t="s">
        <v>60</v>
      </c>
      <c r="C100" t="s">
        <v>15</v>
      </c>
      <c r="D100">
        <v>2.95</v>
      </c>
      <c r="E100">
        <v>677.97</v>
      </c>
      <c r="F100" t="s">
        <v>11</v>
      </c>
      <c r="G100" t="s">
        <v>24</v>
      </c>
      <c r="H100" t="s">
        <v>57</v>
      </c>
      <c r="I100" t="s">
        <v>14</v>
      </c>
    </row>
    <row r="101" spans="1:9" x14ac:dyDescent="0.25">
      <c r="A101">
        <v>10559</v>
      </c>
      <c r="B101" s="4" t="s">
        <v>60</v>
      </c>
      <c r="C101" t="s">
        <v>18</v>
      </c>
      <c r="D101">
        <v>4.99</v>
      </c>
      <c r="E101">
        <v>200.4</v>
      </c>
      <c r="F101" t="s">
        <v>11</v>
      </c>
      <c r="G101" t="s">
        <v>24</v>
      </c>
      <c r="H101" t="s">
        <v>57</v>
      </c>
      <c r="I101" t="s">
        <v>14</v>
      </c>
    </row>
    <row r="102" spans="1:9" x14ac:dyDescent="0.25">
      <c r="A102">
        <v>10560</v>
      </c>
      <c r="B102" s="4" t="s">
        <v>61</v>
      </c>
      <c r="C102" t="s">
        <v>23</v>
      </c>
      <c r="D102">
        <v>12.99</v>
      </c>
      <c r="E102">
        <v>477.29</v>
      </c>
      <c r="F102" t="s">
        <v>11</v>
      </c>
      <c r="G102" t="s">
        <v>24</v>
      </c>
      <c r="H102" t="s">
        <v>57</v>
      </c>
      <c r="I102" t="s">
        <v>14</v>
      </c>
    </row>
    <row r="103" spans="1:9" x14ac:dyDescent="0.25">
      <c r="A103">
        <v>10561</v>
      </c>
      <c r="B103" s="4" t="s">
        <v>61</v>
      </c>
      <c r="C103" t="s">
        <v>27</v>
      </c>
      <c r="D103">
        <v>9.9499999999999993</v>
      </c>
      <c r="E103">
        <v>201.01</v>
      </c>
      <c r="F103" t="s">
        <v>11</v>
      </c>
      <c r="G103" t="s">
        <v>24</v>
      </c>
      <c r="H103" t="s">
        <v>57</v>
      </c>
      <c r="I103" t="s">
        <v>14</v>
      </c>
    </row>
    <row r="104" spans="1:9" x14ac:dyDescent="0.25">
      <c r="A104">
        <v>10562</v>
      </c>
      <c r="B104" s="4" t="s">
        <v>61</v>
      </c>
      <c r="C104" t="s">
        <v>10</v>
      </c>
      <c r="D104">
        <v>3.49</v>
      </c>
      <c r="E104">
        <v>630.37</v>
      </c>
      <c r="F104" t="s">
        <v>11</v>
      </c>
      <c r="G104" t="s">
        <v>24</v>
      </c>
      <c r="H104" t="s">
        <v>57</v>
      </c>
      <c r="I104" t="s">
        <v>14</v>
      </c>
    </row>
    <row r="105" spans="1:9" x14ac:dyDescent="0.25">
      <c r="A105">
        <v>10563</v>
      </c>
      <c r="B105" s="4" t="s">
        <v>61</v>
      </c>
      <c r="C105" t="s">
        <v>15</v>
      </c>
      <c r="D105">
        <v>2.95</v>
      </c>
      <c r="E105">
        <v>677.97</v>
      </c>
      <c r="F105" t="s">
        <v>11</v>
      </c>
      <c r="G105" t="s">
        <v>24</v>
      </c>
      <c r="H105" t="s">
        <v>57</v>
      </c>
      <c r="I105" t="s">
        <v>14</v>
      </c>
    </row>
    <row r="106" spans="1:9" x14ac:dyDescent="0.25">
      <c r="A106">
        <v>10564</v>
      </c>
      <c r="B106" s="4" t="s">
        <v>61</v>
      </c>
      <c r="C106" t="s">
        <v>18</v>
      </c>
      <c r="D106">
        <v>4.99</v>
      </c>
      <c r="E106">
        <v>200.4</v>
      </c>
      <c r="F106" t="s">
        <v>11</v>
      </c>
      <c r="G106" t="s">
        <v>24</v>
      </c>
      <c r="H106" t="s">
        <v>57</v>
      </c>
      <c r="I106" t="s">
        <v>14</v>
      </c>
    </row>
    <row r="107" spans="1:9" x14ac:dyDescent="0.25">
      <c r="A107">
        <v>10565</v>
      </c>
      <c r="B107" s="4" t="s">
        <v>62</v>
      </c>
      <c r="C107" t="s">
        <v>23</v>
      </c>
      <c r="D107">
        <v>12.99</v>
      </c>
      <c r="E107">
        <v>492.69</v>
      </c>
      <c r="F107" t="s">
        <v>11</v>
      </c>
      <c r="G107" t="s">
        <v>24</v>
      </c>
      <c r="H107" t="s">
        <v>57</v>
      </c>
      <c r="I107" t="s">
        <v>14</v>
      </c>
    </row>
    <row r="108" spans="1:9" x14ac:dyDescent="0.25">
      <c r="A108">
        <v>10566</v>
      </c>
      <c r="B108" s="4" t="s">
        <v>62</v>
      </c>
      <c r="C108" t="s">
        <v>27</v>
      </c>
      <c r="D108">
        <v>9.9499999999999993</v>
      </c>
      <c r="E108">
        <v>201.01</v>
      </c>
      <c r="F108" t="s">
        <v>11</v>
      </c>
      <c r="G108" t="s">
        <v>24</v>
      </c>
      <c r="H108" t="s">
        <v>57</v>
      </c>
      <c r="I108" t="s">
        <v>14</v>
      </c>
    </row>
    <row r="109" spans="1:9" x14ac:dyDescent="0.25">
      <c r="A109">
        <v>10567</v>
      </c>
      <c r="B109" s="4" t="s">
        <v>62</v>
      </c>
      <c r="C109" t="s">
        <v>10</v>
      </c>
      <c r="D109">
        <v>3.49</v>
      </c>
      <c r="E109">
        <v>630.37</v>
      </c>
      <c r="F109" t="s">
        <v>11</v>
      </c>
      <c r="G109" t="s">
        <v>24</v>
      </c>
      <c r="H109" t="s">
        <v>57</v>
      </c>
      <c r="I109" t="s">
        <v>14</v>
      </c>
    </row>
    <row r="110" spans="1:9" x14ac:dyDescent="0.25">
      <c r="A110">
        <v>10568</v>
      </c>
      <c r="B110" s="4" t="s">
        <v>62</v>
      </c>
      <c r="C110" t="s">
        <v>15</v>
      </c>
      <c r="D110">
        <v>2.95</v>
      </c>
      <c r="E110">
        <v>677.97</v>
      </c>
      <c r="F110" t="s">
        <v>11</v>
      </c>
      <c r="G110" t="s">
        <v>24</v>
      </c>
      <c r="H110" t="s">
        <v>57</v>
      </c>
      <c r="I110" t="s">
        <v>14</v>
      </c>
    </row>
    <row r="111" spans="1:9" x14ac:dyDescent="0.25">
      <c r="A111">
        <v>10569</v>
      </c>
      <c r="B111" s="4" t="s">
        <v>62</v>
      </c>
      <c r="C111" t="s">
        <v>18</v>
      </c>
      <c r="D111">
        <v>4.99</v>
      </c>
      <c r="E111">
        <v>200.4</v>
      </c>
      <c r="F111" t="s">
        <v>11</v>
      </c>
      <c r="G111" t="s">
        <v>24</v>
      </c>
      <c r="H111" t="s">
        <v>57</v>
      </c>
      <c r="I111" t="s">
        <v>14</v>
      </c>
    </row>
    <row r="112" spans="1:9" x14ac:dyDescent="0.25">
      <c r="A112">
        <v>10570</v>
      </c>
      <c r="B112" s="4" t="s">
        <v>63</v>
      </c>
      <c r="C112" t="s">
        <v>23</v>
      </c>
      <c r="D112">
        <v>12.99</v>
      </c>
      <c r="E112">
        <v>492.69</v>
      </c>
      <c r="F112" t="s">
        <v>11</v>
      </c>
      <c r="G112" t="s">
        <v>24</v>
      </c>
      <c r="H112" t="s">
        <v>57</v>
      </c>
      <c r="I112" t="s">
        <v>14</v>
      </c>
    </row>
    <row r="113" spans="1:9" x14ac:dyDescent="0.25">
      <c r="A113">
        <v>10571</v>
      </c>
      <c r="B113" s="4" t="s">
        <v>63</v>
      </c>
      <c r="C113" t="s">
        <v>27</v>
      </c>
      <c r="D113">
        <v>9.9499999999999993</v>
      </c>
      <c r="E113">
        <v>201.01</v>
      </c>
      <c r="F113" t="s">
        <v>11</v>
      </c>
      <c r="G113" t="s">
        <v>24</v>
      </c>
      <c r="H113" t="s">
        <v>57</v>
      </c>
      <c r="I113" t="s">
        <v>14</v>
      </c>
    </row>
    <row r="114" spans="1:9" x14ac:dyDescent="0.25">
      <c r="A114">
        <v>10572</v>
      </c>
      <c r="B114" s="4" t="s">
        <v>63</v>
      </c>
      <c r="C114" t="s">
        <v>10</v>
      </c>
      <c r="D114">
        <v>3.49</v>
      </c>
      <c r="E114">
        <v>573.07000000000005</v>
      </c>
      <c r="F114" t="s">
        <v>11</v>
      </c>
      <c r="G114" t="s">
        <v>24</v>
      </c>
      <c r="H114" t="s">
        <v>31</v>
      </c>
      <c r="I114" t="s">
        <v>29</v>
      </c>
    </row>
    <row r="115" spans="1:9" x14ac:dyDescent="0.25">
      <c r="A115">
        <v>10573</v>
      </c>
      <c r="B115" s="4" t="s">
        <v>63</v>
      </c>
      <c r="C115" t="s">
        <v>15</v>
      </c>
      <c r="D115">
        <v>2.95</v>
      </c>
      <c r="E115">
        <v>677.97</v>
      </c>
      <c r="F115" t="s">
        <v>11</v>
      </c>
      <c r="G115" t="s">
        <v>24</v>
      </c>
      <c r="H115" t="s">
        <v>31</v>
      </c>
      <c r="I115" t="s">
        <v>29</v>
      </c>
    </row>
    <row r="116" spans="1:9" x14ac:dyDescent="0.25">
      <c r="A116">
        <v>10574</v>
      </c>
      <c r="B116" s="4" t="s">
        <v>63</v>
      </c>
      <c r="C116" t="s">
        <v>18</v>
      </c>
      <c r="D116">
        <v>4.99</v>
      </c>
      <c r="E116">
        <v>200.4</v>
      </c>
      <c r="F116" t="s">
        <v>11</v>
      </c>
      <c r="G116" t="s">
        <v>24</v>
      </c>
      <c r="H116" t="s">
        <v>31</v>
      </c>
      <c r="I116" t="s">
        <v>29</v>
      </c>
    </row>
    <row r="117" spans="1:9" x14ac:dyDescent="0.25">
      <c r="A117">
        <v>10575</v>
      </c>
      <c r="B117" s="4" t="s">
        <v>64</v>
      </c>
      <c r="C117" t="s">
        <v>23</v>
      </c>
      <c r="D117">
        <v>12.99</v>
      </c>
      <c r="E117">
        <v>523.48</v>
      </c>
      <c r="F117" t="s">
        <v>11</v>
      </c>
      <c r="G117" t="s">
        <v>24</v>
      </c>
      <c r="H117" t="s">
        <v>31</v>
      </c>
      <c r="I117" t="s">
        <v>29</v>
      </c>
    </row>
    <row r="118" spans="1:9" x14ac:dyDescent="0.25">
      <c r="A118">
        <v>10576</v>
      </c>
      <c r="B118" s="4" t="s">
        <v>64</v>
      </c>
      <c r="C118" t="s">
        <v>27</v>
      </c>
      <c r="D118">
        <v>9.9499999999999993</v>
      </c>
      <c r="E118">
        <v>201.01</v>
      </c>
      <c r="F118" t="s">
        <v>11</v>
      </c>
      <c r="G118" t="s">
        <v>24</v>
      </c>
      <c r="H118" t="s">
        <v>31</v>
      </c>
      <c r="I118" t="s">
        <v>29</v>
      </c>
    </row>
    <row r="119" spans="1:9" x14ac:dyDescent="0.25">
      <c r="A119">
        <v>10577</v>
      </c>
      <c r="B119" s="4" t="s">
        <v>64</v>
      </c>
      <c r="C119" t="s">
        <v>10</v>
      </c>
      <c r="D119">
        <v>3.49</v>
      </c>
      <c r="E119">
        <v>630.37</v>
      </c>
      <c r="F119" t="s">
        <v>11</v>
      </c>
      <c r="G119" t="s">
        <v>24</v>
      </c>
      <c r="H119" t="s">
        <v>31</v>
      </c>
      <c r="I119" t="s">
        <v>29</v>
      </c>
    </row>
    <row r="120" spans="1:9" x14ac:dyDescent="0.25">
      <c r="A120">
        <v>10578</v>
      </c>
      <c r="B120" s="4" t="s">
        <v>64</v>
      </c>
      <c r="C120" t="s">
        <v>15</v>
      </c>
      <c r="D120">
        <v>2.95</v>
      </c>
      <c r="E120">
        <v>677.97</v>
      </c>
      <c r="F120" t="s">
        <v>11</v>
      </c>
      <c r="G120" t="s">
        <v>24</v>
      </c>
      <c r="H120" t="s">
        <v>31</v>
      </c>
      <c r="I120" t="s">
        <v>29</v>
      </c>
    </row>
    <row r="121" spans="1:9" x14ac:dyDescent="0.25">
      <c r="A121">
        <v>10579</v>
      </c>
      <c r="B121" s="4" t="s">
        <v>64</v>
      </c>
      <c r="C121" t="s">
        <v>18</v>
      </c>
      <c r="D121">
        <v>4.99</v>
      </c>
      <c r="E121">
        <v>200.4</v>
      </c>
      <c r="F121" t="s">
        <v>11</v>
      </c>
      <c r="G121" t="s">
        <v>24</v>
      </c>
      <c r="H121" t="s">
        <v>31</v>
      </c>
      <c r="I121" t="s">
        <v>29</v>
      </c>
    </row>
    <row r="122" spans="1:9" x14ac:dyDescent="0.25">
      <c r="A122">
        <v>10580</v>
      </c>
      <c r="B122" s="4" t="s">
        <v>65</v>
      </c>
      <c r="C122" t="s">
        <v>23</v>
      </c>
      <c r="D122">
        <v>12.99</v>
      </c>
      <c r="E122">
        <v>523.48</v>
      </c>
      <c r="F122" t="s">
        <v>11</v>
      </c>
      <c r="G122" t="s">
        <v>24</v>
      </c>
      <c r="H122" t="s">
        <v>31</v>
      </c>
      <c r="I122" t="s">
        <v>29</v>
      </c>
    </row>
    <row r="123" spans="1:9" x14ac:dyDescent="0.25">
      <c r="A123">
        <v>10581</v>
      </c>
      <c r="B123" s="4" t="s">
        <v>65</v>
      </c>
      <c r="C123" t="s">
        <v>27</v>
      </c>
      <c r="D123">
        <v>9.9499999999999993</v>
      </c>
      <c r="E123">
        <v>201.01</v>
      </c>
      <c r="F123" t="s">
        <v>11</v>
      </c>
      <c r="G123" t="s">
        <v>24</v>
      </c>
      <c r="H123" t="s">
        <v>31</v>
      </c>
      <c r="I123" t="s">
        <v>29</v>
      </c>
    </row>
    <row r="124" spans="1:9" x14ac:dyDescent="0.25">
      <c r="A124">
        <v>10582</v>
      </c>
      <c r="B124" s="4" t="s">
        <v>65</v>
      </c>
      <c r="C124" t="s">
        <v>10</v>
      </c>
      <c r="D124">
        <v>3.49</v>
      </c>
      <c r="E124">
        <v>630.37</v>
      </c>
      <c r="F124" t="s">
        <v>11</v>
      </c>
      <c r="G124" t="s">
        <v>24</v>
      </c>
      <c r="H124" t="s">
        <v>57</v>
      </c>
      <c r="I124" t="s">
        <v>14</v>
      </c>
    </row>
    <row r="125" spans="1:9" x14ac:dyDescent="0.25">
      <c r="A125">
        <v>10583</v>
      </c>
      <c r="B125" s="4" t="s">
        <v>65</v>
      </c>
      <c r="C125" t="s">
        <v>15</v>
      </c>
      <c r="D125">
        <v>2.95</v>
      </c>
      <c r="E125">
        <v>677.97</v>
      </c>
      <c r="F125" t="s">
        <v>11</v>
      </c>
      <c r="G125" t="s">
        <v>24</v>
      </c>
      <c r="H125" t="s">
        <v>57</v>
      </c>
      <c r="I125" t="s">
        <v>14</v>
      </c>
    </row>
    <row r="126" spans="1:9" x14ac:dyDescent="0.25">
      <c r="A126">
        <v>10584</v>
      </c>
      <c r="B126" s="4" t="s">
        <v>65</v>
      </c>
      <c r="C126" t="s">
        <v>18</v>
      </c>
      <c r="D126">
        <v>4.99</v>
      </c>
      <c r="E126">
        <v>200.4</v>
      </c>
      <c r="F126" t="s">
        <v>11</v>
      </c>
      <c r="G126" t="s">
        <v>24</v>
      </c>
      <c r="H126" t="s">
        <v>57</v>
      </c>
      <c r="I126" t="s">
        <v>14</v>
      </c>
    </row>
    <row r="127" spans="1:9" x14ac:dyDescent="0.25">
      <c r="A127">
        <v>10585</v>
      </c>
      <c r="B127" s="4" t="s">
        <v>66</v>
      </c>
      <c r="C127" t="s">
        <v>23</v>
      </c>
      <c r="D127">
        <v>12.99</v>
      </c>
      <c r="E127">
        <v>538.88</v>
      </c>
      <c r="F127" t="s">
        <v>11</v>
      </c>
      <c r="G127" t="s">
        <v>24</v>
      </c>
      <c r="H127" t="s">
        <v>57</v>
      </c>
      <c r="I127" t="s">
        <v>14</v>
      </c>
    </row>
    <row r="128" spans="1:9" x14ac:dyDescent="0.25">
      <c r="A128">
        <v>10586</v>
      </c>
      <c r="B128" s="4" t="s">
        <v>66</v>
      </c>
      <c r="C128" t="s">
        <v>27</v>
      </c>
      <c r="D128">
        <v>9.9499999999999993</v>
      </c>
      <c r="E128">
        <v>201.01</v>
      </c>
      <c r="F128" t="s">
        <v>11</v>
      </c>
      <c r="G128" t="s">
        <v>24</v>
      </c>
      <c r="H128" t="s">
        <v>57</v>
      </c>
      <c r="I128" t="s">
        <v>14</v>
      </c>
    </row>
    <row r="129" spans="1:9" x14ac:dyDescent="0.25">
      <c r="A129">
        <v>10537</v>
      </c>
      <c r="B129" s="4" t="s">
        <v>55</v>
      </c>
      <c r="C129" t="s">
        <v>10</v>
      </c>
      <c r="D129">
        <v>3.49</v>
      </c>
      <c r="E129">
        <v>630.37</v>
      </c>
      <c r="F129" t="s">
        <v>46</v>
      </c>
      <c r="G129" t="s">
        <v>24</v>
      </c>
      <c r="H129" t="s">
        <v>35</v>
      </c>
      <c r="I129" t="s">
        <v>17</v>
      </c>
    </row>
    <row r="130" spans="1:9" x14ac:dyDescent="0.25">
      <c r="A130">
        <v>10538</v>
      </c>
      <c r="B130" s="4" t="s">
        <v>55</v>
      </c>
      <c r="C130" t="s">
        <v>15</v>
      </c>
      <c r="D130">
        <v>2.95</v>
      </c>
      <c r="E130">
        <v>745.76</v>
      </c>
      <c r="F130" t="s">
        <v>46</v>
      </c>
      <c r="G130" t="s">
        <v>24</v>
      </c>
      <c r="H130" t="s">
        <v>35</v>
      </c>
      <c r="I130" t="s">
        <v>17</v>
      </c>
    </row>
    <row r="131" spans="1:9" x14ac:dyDescent="0.25">
      <c r="A131">
        <v>10539</v>
      </c>
      <c r="B131" s="4" t="s">
        <v>55</v>
      </c>
      <c r="C131" t="s">
        <v>18</v>
      </c>
      <c r="D131">
        <v>4.99</v>
      </c>
      <c r="E131">
        <v>200.4</v>
      </c>
      <c r="F131" t="s">
        <v>46</v>
      </c>
      <c r="G131" t="s">
        <v>24</v>
      </c>
      <c r="H131" t="s">
        <v>35</v>
      </c>
      <c r="I131" t="s">
        <v>17</v>
      </c>
    </row>
    <row r="132" spans="1:9" x14ac:dyDescent="0.25">
      <c r="A132">
        <v>10590</v>
      </c>
      <c r="B132" s="4" t="s">
        <v>67</v>
      </c>
      <c r="C132" t="s">
        <v>23</v>
      </c>
      <c r="D132">
        <v>12.99</v>
      </c>
      <c r="E132">
        <v>554.27</v>
      </c>
      <c r="F132" t="s">
        <v>11</v>
      </c>
      <c r="G132" t="s">
        <v>24</v>
      </c>
      <c r="H132" t="s">
        <v>57</v>
      </c>
      <c r="I132" t="s">
        <v>14</v>
      </c>
    </row>
    <row r="133" spans="1:9" x14ac:dyDescent="0.25">
      <c r="A133">
        <v>10591</v>
      </c>
      <c r="B133" s="4" t="s">
        <v>67</v>
      </c>
      <c r="C133" t="s">
        <v>27</v>
      </c>
      <c r="D133">
        <v>9.9499999999999993</v>
      </c>
      <c r="E133">
        <v>201.01</v>
      </c>
      <c r="F133" t="s">
        <v>11</v>
      </c>
      <c r="G133" t="s">
        <v>24</v>
      </c>
      <c r="H133" t="s">
        <v>57</v>
      </c>
      <c r="I133" t="s">
        <v>14</v>
      </c>
    </row>
    <row r="134" spans="1:9" x14ac:dyDescent="0.25">
      <c r="A134">
        <v>10592</v>
      </c>
      <c r="B134" s="4" t="s">
        <v>67</v>
      </c>
      <c r="C134" t="s">
        <v>10</v>
      </c>
      <c r="D134">
        <v>3.49</v>
      </c>
      <c r="E134">
        <v>573.07000000000005</v>
      </c>
      <c r="F134" t="s">
        <v>11</v>
      </c>
      <c r="G134" t="s">
        <v>24</v>
      </c>
      <c r="H134" t="s">
        <v>57</v>
      </c>
      <c r="I134" t="s">
        <v>14</v>
      </c>
    </row>
    <row r="135" spans="1:9" x14ac:dyDescent="0.25">
      <c r="A135">
        <v>10593</v>
      </c>
      <c r="B135" s="4" t="s">
        <v>67</v>
      </c>
      <c r="C135" t="s">
        <v>15</v>
      </c>
      <c r="D135">
        <v>2.95</v>
      </c>
      <c r="E135">
        <v>677.97</v>
      </c>
      <c r="F135" t="s">
        <v>11</v>
      </c>
      <c r="G135" t="s">
        <v>24</v>
      </c>
      <c r="H135" t="s">
        <v>57</v>
      </c>
      <c r="I135" t="s">
        <v>14</v>
      </c>
    </row>
    <row r="136" spans="1:9" x14ac:dyDescent="0.25">
      <c r="A136">
        <v>10594</v>
      </c>
      <c r="B136" s="4" t="s">
        <v>67</v>
      </c>
      <c r="C136" t="s">
        <v>18</v>
      </c>
      <c r="D136">
        <v>4.99</v>
      </c>
      <c r="E136">
        <v>200.4</v>
      </c>
      <c r="F136" t="s">
        <v>11</v>
      </c>
      <c r="G136" t="s">
        <v>24</v>
      </c>
      <c r="H136" t="s">
        <v>57</v>
      </c>
      <c r="I136" t="s">
        <v>14</v>
      </c>
    </row>
    <row r="137" spans="1:9" x14ac:dyDescent="0.25">
      <c r="A137">
        <v>10595</v>
      </c>
      <c r="B137" s="4" t="s">
        <v>68</v>
      </c>
      <c r="C137" t="s">
        <v>23</v>
      </c>
      <c r="D137">
        <v>12.99</v>
      </c>
      <c r="E137">
        <v>538.88</v>
      </c>
      <c r="F137" t="s">
        <v>11</v>
      </c>
      <c r="G137" t="s">
        <v>24</v>
      </c>
      <c r="H137" t="s">
        <v>57</v>
      </c>
      <c r="I137" t="s">
        <v>14</v>
      </c>
    </row>
    <row r="138" spans="1:9" x14ac:dyDescent="0.25">
      <c r="A138">
        <v>10596</v>
      </c>
      <c r="B138" s="4" t="s">
        <v>68</v>
      </c>
      <c r="C138" t="s">
        <v>27</v>
      </c>
      <c r="D138">
        <v>9.9499999999999993</v>
      </c>
      <c r="E138">
        <v>201.01</v>
      </c>
      <c r="F138" t="s">
        <v>11</v>
      </c>
      <c r="G138" t="s">
        <v>24</v>
      </c>
      <c r="H138" t="s">
        <v>57</v>
      </c>
      <c r="I138" t="s">
        <v>14</v>
      </c>
    </row>
    <row r="139" spans="1:9" x14ac:dyDescent="0.25">
      <c r="A139">
        <v>10597</v>
      </c>
      <c r="B139" s="4" t="s">
        <v>68</v>
      </c>
      <c r="C139" t="s">
        <v>10</v>
      </c>
      <c r="D139">
        <v>3.49</v>
      </c>
      <c r="E139">
        <v>573.07000000000005</v>
      </c>
      <c r="F139" t="s">
        <v>11</v>
      </c>
      <c r="G139" t="s">
        <v>24</v>
      </c>
      <c r="H139" t="s">
        <v>57</v>
      </c>
      <c r="I139" t="s">
        <v>14</v>
      </c>
    </row>
    <row r="140" spans="1:9" x14ac:dyDescent="0.25">
      <c r="A140">
        <v>10598</v>
      </c>
      <c r="B140" s="4" t="s">
        <v>68</v>
      </c>
      <c r="C140" t="s">
        <v>15</v>
      </c>
      <c r="D140">
        <v>2.95</v>
      </c>
      <c r="E140">
        <v>677.97</v>
      </c>
      <c r="F140" t="s">
        <v>11</v>
      </c>
      <c r="G140" t="s">
        <v>24</v>
      </c>
      <c r="H140" t="s">
        <v>57</v>
      </c>
      <c r="I140" t="s">
        <v>14</v>
      </c>
    </row>
    <row r="141" spans="1:9" x14ac:dyDescent="0.25">
      <c r="A141">
        <v>10599</v>
      </c>
      <c r="B141" s="4" t="s">
        <v>68</v>
      </c>
      <c r="C141" t="s">
        <v>18</v>
      </c>
      <c r="D141">
        <v>4.99</v>
      </c>
      <c r="E141">
        <v>200.4</v>
      </c>
      <c r="F141" t="s">
        <v>11</v>
      </c>
      <c r="G141" t="s">
        <v>24</v>
      </c>
      <c r="H141" t="s">
        <v>57</v>
      </c>
      <c r="I141" t="s">
        <v>14</v>
      </c>
    </row>
    <row r="142" spans="1:9" x14ac:dyDescent="0.25">
      <c r="A142">
        <v>10600</v>
      </c>
      <c r="B142" s="4" t="s">
        <v>69</v>
      </c>
      <c r="C142" t="s">
        <v>23</v>
      </c>
      <c r="D142">
        <v>12.99</v>
      </c>
      <c r="E142">
        <v>523.48</v>
      </c>
      <c r="F142" t="s">
        <v>11</v>
      </c>
      <c r="G142" t="s">
        <v>24</v>
      </c>
      <c r="H142" t="s">
        <v>57</v>
      </c>
      <c r="I142" t="s">
        <v>14</v>
      </c>
    </row>
    <row r="143" spans="1:9" x14ac:dyDescent="0.25">
      <c r="A143">
        <v>10601</v>
      </c>
      <c r="B143" s="4" t="s">
        <v>69</v>
      </c>
      <c r="C143" t="s">
        <v>27</v>
      </c>
      <c r="D143">
        <v>9.9499999999999993</v>
      </c>
      <c r="E143">
        <v>201.01</v>
      </c>
      <c r="F143" t="s">
        <v>11</v>
      </c>
      <c r="G143" t="s">
        <v>24</v>
      </c>
      <c r="H143" t="s">
        <v>57</v>
      </c>
      <c r="I143" t="s">
        <v>14</v>
      </c>
    </row>
    <row r="144" spans="1:9" x14ac:dyDescent="0.25">
      <c r="A144">
        <v>10602</v>
      </c>
      <c r="B144" s="4" t="s">
        <v>69</v>
      </c>
      <c r="C144" t="s">
        <v>10</v>
      </c>
      <c r="D144">
        <v>3.49</v>
      </c>
      <c r="E144">
        <v>630.37</v>
      </c>
      <c r="F144" t="s">
        <v>11</v>
      </c>
      <c r="G144" t="s">
        <v>50</v>
      </c>
      <c r="H144" t="s">
        <v>57</v>
      </c>
      <c r="I144" t="s">
        <v>14</v>
      </c>
    </row>
    <row r="145" spans="1:9" x14ac:dyDescent="0.25">
      <c r="A145">
        <v>10603</v>
      </c>
      <c r="B145" s="4" t="s">
        <v>69</v>
      </c>
      <c r="C145" t="s">
        <v>15</v>
      </c>
      <c r="D145">
        <v>2.95</v>
      </c>
      <c r="E145">
        <v>677.97</v>
      </c>
      <c r="F145" t="s">
        <v>11</v>
      </c>
      <c r="G145" t="s">
        <v>50</v>
      </c>
      <c r="H145" t="s">
        <v>57</v>
      </c>
      <c r="I145" t="s">
        <v>14</v>
      </c>
    </row>
    <row r="146" spans="1:9" x14ac:dyDescent="0.25">
      <c r="A146">
        <v>10604</v>
      </c>
      <c r="B146" s="4" t="s">
        <v>69</v>
      </c>
      <c r="C146" t="s">
        <v>18</v>
      </c>
      <c r="D146">
        <v>4.99</v>
      </c>
      <c r="E146">
        <v>200.4</v>
      </c>
      <c r="F146" t="s">
        <v>11</v>
      </c>
      <c r="G146" t="s">
        <v>50</v>
      </c>
      <c r="H146" t="s">
        <v>57</v>
      </c>
      <c r="I146" t="s">
        <v>14</v>
      </c>
    </row>
    <row r="147" spans="1:9" x14ac:dyDescent="0.25">
      <c r="A147">
        <v>10605</v>
      </c>
      <c r="B147" s="4" t="s">
        <v>70</v>
      </c>
      <c r="C147" t="s">
        <v>23</v>
      </c>
      <c r="D147">
        <v>12.99</v>
      </c>
      <c r="E147">
        <v>538.88</v>
      </c>
      <c r="F147" t="s">
        <v>11</v>
      </c>
      <c r="G147" t="s">
        <v>50</v>
      </c>
      <c r="H147" t="s">
        <v>57</v>
      </c>
      <c r="I147" t="s">
        <v>14</v>
      </c>
    </row>
    <row r="148" spans="1:9" x14ac:dyDescent="0.25">
      <c r="A148">
        <v>10606</v>
      </c>
      <c r="B148" s="4" t="s">
        <v>70</v>
      </c>
      <c r="C148" t="s">
        <v>27</v>
      </c>
      <c r="D148">
        <v>9.9499999999999993</v>
      </c>
      <c r="E148">
        <v>201.01</v>
      </c>
      <c r="F148" t="s">
        <v>11</v>
      </c>
      <c r="G148" t="s">
        <v>50</v>
      </c>
      <c r="H148" t="s">
        <v>57</v>
      </c>
      <c r="I148" t="s">
        <v>14</v>
      </c>
    </row>
    <row r="149" spans="1:9" x14ac:dyDescent="0.25">
      <c r="A149">
        <v>10607</v>
      </c>
      <c r="B149" s="4" t="s">
        <v>70</v>
      </c>
      <c r="C149" t="s">
        <v>10</v>
      </c>
      <c r="D149">
        <v>3.49</v>
      </c>
      <c r="E149">
        <v>630.37</v>
      </c>
      <c r="F149" t="s">
        <v>11</v>
      </c>
      <c r="G149" t="s">
        <v>50</v>
      </c>
      <c r="H149" t="s">
        <v>57</v>
      </c>
      <c r="I149" t="s">
        <v>14</v>
      </c>
    </row>
    <row r="150" spans="1:9" x14ac:dyDescent="0.25">
      <c r="A150">
        <v>10608</v>
      </c>
      <c r="B150" s="4" t="s">
        <v>70</v>
      </c>
      <c r="C150" t="s">
        <v>15</v>
      </c>
      <c r="D150">
        <v>2.95</v>
      </c>
      <c r="E150">
        <v>677.97</v>
      </c>
      <c r="F150" t="s">
        <v>11</v>
      </c>
      <c r="G150" t="s">
        <v>12</v>
      </c>
      <c r="H150" t="s">
        <v>57</v>
      </c>
      <c r="I150" t="s">
        <v>14</v>
      </c>
    </row>
    <row r="151" spans="1:9" x14ac:dyDescent="0.25">
      <c r="A151">
        <v>10609</v>
      </c>
      <c r="B151" s="4" t="s">
        <v>70</v>
      </c>
      <c r="C151" t="s">
        <v>18</v>
      </c>
      <c r="D151">
        <v>4.99</v>
      </c>
      <c r="E151">
        <v>200.4</v>
      </c>
      <c r="F151" t="s">
        <v>11</v>
      </c>
      <c r="G151" t="s">
        <v>12</v>
      </c>
      <c r="H151" t="s">
        <v>57</v>
      </c>
      <c r="I151" t="s">
        <v>14</v>
      </c>
    </row>
    <row r="152" spans="1:9" x14ac:dyDescent="0.25">
      <c r="A152">
        <v>10610</v>
      </c>
      <c r="B152" s="4" t="s">
        <v>71</v>
      </c>
      <c r="C152" t="s">
        <v>23</v>
      </c>
      <c r="D152">
        <v>12.99</v>
      </c>
      <c r="E152">
        <v>569.66999999999996</v>
      </c>
      <c r="F152" t="s">
        <v>11</v>
      </c>
      <c r="G152" t="s">
        <v>12</v>
      </c>
      <c r="H152" t="s">
        <v>57</v>
      </c>
      <c r="I152" t="s">
        <v>14</v>
      </c>
    </row>
    <row r="153" spans="1:9" x14ac:dyDescent="0.25">
      <c r="A153">
        <v>10611</v>
      </c>
      <c r="B153" s="4" t="s">
        <v>71</v>
      </c>
      <c r="C153" t="s">
        <v>27</v>
      </c>
      <c r="D153">
        <v>9.9499999999999993</v>
      </c>
      <c r="E153">
        <v>201.01</v>
      </c>
      <c r="F153" t="s">
        <v>11</v>
      </c>
      <c r="G153" t="s">
        <v>12</v>
      </c>
      <c r="H153" t="s">
        <v>57</v>
      </c>
      <c r="I153" t="s">
        <v>14</v>
      </c>
    </row>
    <row r="154" spans="1:9" x14ac:dyDescent="0.25">
      <c r="A154">
        <v>10612</v>
      </c>
      <c r="B154" s="4" t="s">
        <v>71</v>
      </c>
      <c r="C154" t="s">
        <v>10</v>
      </c>
      <c r="D154">
        <v>3.49</v>
      </c>
      <c r="E154">
        <v>630.37</v>
      </c>
      <c r="F154" t="s">
        <v>11</v>
      </c>
      <c r="G154" t="s">
        <v>12</v>
      </c>
      <c r="H154" t="s">
        <v>57</v>
      </c>
      <c r="I154" t="s">
        <v>14</v>
      </c>
    </row>
    <row r="155" spans="1:9" x14ac:dyDescent="0.25">
      <c r="A155">
        <v>10613</v>
      </c>
      <c r="B155" s="4" t="s">
        <v>71</v>
      </c>
      <c r="C155" t="s">
        <v>15</v>
      </c>
      <c r="D155">
        <v>2.95</v>
      </c>
      <c r="E155">
        <v>677.97</v>
      </c>
      <c r="F155" t="s">
        <v>11</v>
      </c>
      <c r="G155" t="s">
        <v>12</v>
      </c>
      <c r="H155" t="s">
        <v>57</v>
      </c>
      <c r="I155" t="s">
        <v>14</v>
      </c>
    </row>
    <row r="156" spans="1:9" x14ac:dyDescent="0.25">
      <c r="A156">
        <v>10614</v>
      </c>
      <c r="B156" s="4" t="s">
        <v>71</v>
      </c>
      <c r="C156" t="s">
        <v>18</v>
      </c>
      <c r="D156">
        <v>4.99</v>
      </c>
      <c r="E156">
        <v>200.4</v>
      </c>
      <c r="F156" t="s">
        <v>11</v>
      </c>
      <c r="G156" t="s">
        <v>12</v>
      </c>
      <c r="H156" t="s">
        <v>57</v>
      </c>
      <c r="I156" t="s">
        <v>14</v>
      </c>
    </row>
    <row r="157" spans="1:9" x14ac:dyDescent="0.25">
      <c r="A157">
        <v>10615</v>
      </c>
      <c r="B157" s="4" t="s">
        <v>72</v>
      </c>
      <c r="C157" t="s">
        <v>23</v>
      </c>
      <c r="D157">
        <v>12.99</v>
      </c>
      <c r="E157">
        <v>569.66999999999996</v>
      </c>
      <c r="F157" t="s">
        <v>11</v>
      </c>
      <c r="G157" t="s">
        <v>12</v>
      </c>
      <c r="H157" t="s">
        <v>57</v>
      </c>
      <c r="I157" t="s">
        <v>14</v>
      </c>
    </row>
    <row r="158" spans="1:9" x14ac:dyDescent="0.25">
      <c r="A158">
        <v>10616</v>
      </c>
      <c r="B158" s="4" t="s">
        <v>72</v>
      </c>
      <c r="C158" t="s">
        <v>27</v>
      </c>
      <c r="D158">
        <v>9.9499999999999993</v>
      </c>
      <c r="E158">
        <v>201.01</v>
      </c>
      <c r="F158" t="s">
        <v>11</v>
      </c>
      <c r="G158" t="s">
        <v>12</v>
      </c>
      <c r="H158" t="s">
        <v>57</v>
      </c>
      <c r="I158" t="s">
        <v>14</v>
      </c>
    </row>
    <row r="159" spans="1:9" x14ac:dyDescent="0.25">
      <c r="A159">
        <v>10617</v>
      </c>
      <c r="B159" s="4" t="s">
        <v>72</v>
      </c>
      <c r="C159" t="s">
        <v>10</v>
      </c>
      <c r="D159">
        <v>3.49</v>
      </c>
      <c r="E159">
        <v>630.37</v>
      </c>
      <c r="F159" t="s">
        <v>11</v>
      </c>
      <c r="G159" t="s">
        <v>12</v>
      </c>
      <c r="H159" t="s">
        <v>57</v>
      </c>
      <c r="I159" t="s">
        <v>14</v>
      </c>
    </row>
    <row r="160" spans="1:9" x14ac:dyDescent="0.25">
      <c r="A160">
        <v>10618</v>
      </c>
      <c r="B160" s="4" t="s">
        <v>72</v>
      </c>
      <c r="C160" t="s">
        <v>15</v>
      </c>
      <c r="D160">
        <v>2.95</v>
      </c>
      <c r="E160">
        <v>677.97</v>
      </c>
      <c r="F160" t="s">
        <v>11</v>
      </c>
      <c r="G160" t="s">
        <v>12</v>
      </c>
      <c r="H160" t="s">
        <v>57</v>
      </c>
      <c r="I160" t="s">
        <v>14</v>
      </c>
    </row>
    <row r="161" spans="1:9" x14ac:dyDescent="0.25">
      <c r="A161">
        <v>10619</v>
      </c>
      <c r="B161" s="4" t="s">
        <v>72</v>
      </c>
      <c r="C161" t="s">
        <v>18</v>
      </c>
      <c r="D161">
        <v>4.99</v>
      </c>
      <c r="E161">
        <v>200.4</v>
      </c>
      <c r="F161" t="s">
        <v>11</v>
      </c>
      <c r="G161" t="s">
        <v>12</v>
      </c>
      <c r="H161" t="s">
        <v>57</v>
      </c>
      <c r="I161" t="s">
        <v>14</v>
      </c>
    </row>
    <row r="162" spans="1:9" x14ac:dyDescent="0.25">
      <c r="A162">
        <v>10620</v>
      </c>
      <c r="B162" s="4" t="s">
        <v>73</v>
      </c>
      <c r="C162" t="s">
        <v>23</v>
      </c>
      <c r="D162">
        <v>12.99</v>
      </c>
      <c r="E162">
        <v>585.07000000000005</v>
      </c>
      <c r="F162" t="s">
        <v>11</v>
      </c>
      <c r="G162" t="s">
        <v>12</v>
      </c>
      <c r="H162" t="s">
        <v>57</v>
      </c>
      <c r="I162" t="s">
        <v>14</v>
      </c>
    </row>
    <row r="163" spans="1:9" x14ac:dyDescent="0.25">
      <c r="A163">
        <v>10621</v>
      </c>
      <c r="B163" s="4" t="s">
        <v>73</v>
      </c>
      <c r="C163" t="s">
        <v>27</v>
      </c>
      <c r="D163">
        <v>9.9499999999999993</v>
      </c>
      <c r="E163">
        <v>201.01</v>
      </c>
      <c r="F163" t="s">
        <v>11</v>
      </c>
      <c r="G163" t="s">
        <v>12</v>
      </c>
      <c r="H163" t="s">
        <v>57</v>
      </c>
      <c r="I163" t="s">
        <v>14</v>
      </c>
    </row>
    <row r="164" spans="1:9" x14ac:dyDescent="0.25">
      <c r="A164">
        <v>10622</v>
      </c>
      <c r="B164" s="4" t="s">
        <v>73</v>
      </c>
      <c r="C164" t="s">
        <v>10</v>
      </c>
      <c r="D164">
        <v>3.49</v>
      </c>
      <c r="E164">
        <v>630.37</v>
      </c>
      <c r="F164" t="s">
        <v>11</v>
      </c>
      <c r="G164" t="s">
        <v>12</v>
      </c>
      <c r="H164" t="s">
        <v>57</v>
      </c>
      <c r="I164" t="s">
        <v>14</v>
      </c>
    </row>
    <row r="165" spans="1:9" x14ac:dyDescent="0.25">
      <c r="A165">
        <v>10623</v>
      </c>
      <c r="B165" s="4" t="s">
        <v>73</v>
      </c>
      <c r="C165" t="s">
        <v>15</v>
      </c>
      <c r="D165">
        <v>2.95</v>
      </c>
      <c r="E165">
        <v>745.76</v>
      </c>
      <c r="F165" t="s">
        <v>11</v>
      </c>
      <c r="G165" t="s">
        <v>12</v>
      </c>
      <c r="H165" t="s">
        <v>57</v>
      </c>
      <c r="I165" t="s">
        <v>14</v>
      </c>
    </row>
    <row r="166" spans="1:9" x14ac:dyDescent="0.25">
      <c r="A166">
        <v>10624</v>
      </c>
      <c r="B166" s="4" t="s">
        <v>73</v>
      </c>
      <c r="C166" t="s">
        <v>18</v>
      </c>
      <c r="D166">
        <v>4.99</v>
      </c>
      <c r="E166">
        <v>200.4</v>
      </c>
      <c r="F166" t="s">
        <v>11</v>
      </c>
      <c r="G166" t="s">
        <v>12</v>
      </c>
      <c r="H166" t="s">
        <v>57</v>
      </c>
      <c r="I166" t="s">
        <v>14</v>
      </c>
    </row>
    <row r="167" spans="1:9" x14ac:dyDescent="0.25">
      <c r="A167">
        <v>10625</v>
      </c>
      <c r="B167" s="4" t="s">
        <v>74</v>
      </c>
      <c r="C167" t="s">
        <v>23</v>
      </c>
      <c r="D167">
        <v>12.99</v>
      </c>
      <c r="E167">
        <v>569.66999999999996</v>
      </c>
      <c r="F167" t="s">
        <v>11</v>
      </c>
      <c r="G167" t="s">
        <v>12</v>
      </c>
      <c r="H167" t="s">
        <v>57</v>
      </c>
      <c r="I167" t="s">
        <v>14</v>
      </c>
    </row>
    <row r="168" spans="1:9" x14ac:dyDescent="0.25">
      <c r="A168">
        <v>10626</v>
      </c>
      <c r="B168" s="4" t="s">
        <v>74</v>
      </c>
      <c r="C168" t="s">
        <v>27</v>
      </c>
      <c r="D168">
        <v>9.9499999999999993</v>
      </c>
      <c r="E168">
        <v>201.01</v>
      </c>
      <c r="F168" t="s">
        <v>11</v>
      </c>
      <c r="G168" t="s">
        <v>12</v>
      </c>
      <c r="H168" t="s">
        <v>57</v>
      </c>
      <c r="I168" t="s">
        <v>14</v>
      </c>
    </row>
    <row r="169" spans="1:9" x14ac:dyDescent="0.25">
      <c r="A169">
        <v>10627</v>
      </c>
      <c r="B169" s="4" t="s">
        <v>74</v>
      </c>
      <c r="C169" t="s">
        <v>10</v>
      </c>
      <c r="D169">
        <v>3.49</v>
      </c>
      <c r="E169">
        <v>630.37</v>
      </c>
      <c r="F169" t="s">
        <v>11</v>
      </c>
      <c r="G169" t="s">
        <v>12</v>
      </c>
      <c r="H169" t="s">
        <v>57</v>
      </c>
      <c r="I169" t="s">
        <v>14</v>
      </c>
    </row>
    <row r="170" spans="1:9" x14ac:dyDescent="0.25">
      <c r="A170">
        <v>10628</v>
      </c>
      <c r="B170" s="4" t="s">
        <v>74</v>
      </c>
      <c r="C170" t="s">
        <v>15</v>
      </c>
      <c r="D170">
        <v>2.95</v>
      </c>
      <c r="E170">
        <v>677.97</v>
      </c>
      <c r="F170" t="s">
        <v>11</v>
      </c>
      <c r="G170" t="s">
        <v>12</v>
      </c>
      <c r="H170" t="s">
        <v>42</v>
      </c>
      <c r="I170" t="s">
        <v>21</v>
      </c>
    </row>
    <row r="171" spans="1:9" x14ac:dyDescent="0.25">
      <c r="A171">
        <v>10629</v>
      </c>
      <c r="B171" s="4" t="s">
        <v>74</v>
      </c>
      <c r="C171" t="s">
        <v>18</v>
      </c>
      <c r="D171">
        <v>4.99</v>
      </c>
      <c r="E171">
        <v>200.4</v>
      </c>
      <c r="F171" t="s">
        <v>11</v>
      </c>
      <c r="G171" t="s">
        <v>12</v>
      </c>
      <c r="H171" t="s">
        <v>42</v>
      </c>
      <c r="I171" t="s">
        <v>21</v>
      </c>
    </row>
    <row r="172" spans="1:9" x14ac:dyDescent="0.25">
      <c r="A172">
        <v>10630</v>
      </c>
      <c r="B172" s="4" t="s">
        <v>75</v>
      </c>
      <c r="C172" t="s">
        <v>23</v>
      </c>
      <c r="D172">
        <v>12.99</v>
      </c>
      <c r="E172">
        <v>569.66999999999996</v>
      </c>
      <c r="F172" t="s">
        <v>11</v>
      </c>
      <c r="G172" t="s">
        <v>50</v>
      </c>
      <c r="H172" t="s">
        <v>42</v>
      </c>
      <c r="I172" t="s">
        <v>21</v>
      </c>
    </row>
    <row r="173" spans="1:9" x14ac:dyDescent="0.25">
      <c r="A173">
        <v>10631</v>
      </c>
      <c r="B173" s="4" t="s">
        <v>75</v>
      </c>
      <c r="C173" t="s">
        <v>27</v>
      </c>
      <c r="D173">
        <v>9.9499999999999993</v>
      </c>
      <c r="E173">
        <v>201.01</v>
      </c>
      <c r="F173" t="s">
        <v>11</v>
      </c>
      <c r="G173" t="s">
        <v>12</v>
      </c>
      <c r="H173" t="s">
        <v>42</v>
      </c>
      <c r="I173" t="s">
        <v>21</v>
      </c>
    </row>
    <row r="174" spans="1:9" x14ac:dyDescent="0.25">
      <c r="A174">
        <v>10632</v>
      </c>
      <c r="B174" s="4" t="s">
        <v>75</v>
      </c>
      <c r="C174" t="s">
        <v>10</v>
      </c>
      <c r="D174">
        <v>3.49</v>
      </c>
      <c r="E174">
        <v>630.37</v>
      </c>
      <c r="F174" t="s">
        <v>11</v>
      </c>
      <c r="G174" t="s">
        <v>12</v>
      </c>
      <c r="H174" t="s">
        <v>42</v>
      </c>
      <c r="I174" t="s">
        <v>21</v>
      </c>
    </row>
    <row r="175" spans="1:9" x14ac:dyDescent="0.25">
      <c r="A175">
        <v>10633</v>
      </c>
      <c r="B175" s="4" t="s">
        <v>75</v>
      </c>
      <c r="C175" t="s">
        <v>15</v>
      </c>
      <c r="D175">
        <v>2.95</v>
      </c>
      <c r="E175">
        <v>677.97</v>
      </c>
      <c r="F175" t="s">
        <v>11</v>
      </c>
      <c r="G175" t="s">
        <v>12</v>
      </c>
      <c r="H175" t="s">
        <v>42</v>
      </c>
      <c r="I175" t="s">
        <v>21</v>
      </c>
    </row>
    <row r="176" spans="1:9" x14ac:dyDescent="0.25">
      <c r="A176">
        <v>10634</v>
      </c>
      <c r="B176" s="4" t="s">
        <v>75</v>
      </c>
      <c r="C176" t="s">
        <v>18</v>
      </c>
      <c r="D176">
        <v>4.99</v>
      </c>
      <c r="E176">
        <v>200.4</v>
      </c>
      <c r="F176" t="s">
        <v>11</v>
      </c>
      <c r="G176" t="s">
        <v>12</v>
      </c>
      <c r="H176" t="s">
        <v>42</v>
      </c>
      <c r="I176" t="s">
        <v>21</v>
      </c>
    </row>
    <row r="177" spans="1:9" x14ac:dyDescent="0.25">
      <c r="A177">
        <v>10635</v>
      </c>
      <c r="B177" s="4" t="s">
        <v>76</v>
      </c>
      <c r="C177" t="s">
        <v>23</v>
      </c>
      <c r="D177">
        <v>12.99</v>
      </c>
      <c r="E177">
        <v>554.27</v>
      </c>
      <c r="F177" t="s">
        <v>11</v>
      </c>
      <c r="G177" t="s">
        <v>12</v>
      </c>
      <c r="H177" t="s">
        <v>42</v>
      </c>
      <c r="I177" t="s">
        <v>21</v>
      </c>
    </row>
    <row r="178" spans="1:9" x14ac:dyDescent="0.25">
      <c r="A178">
        <v>10636</v>
      </c>
      <c r="B178" s="4" t="s">
        <v>76</v>
      </c>
      <c r="C178" t="s">
        <v>27</v>
      </c>
      <c r="D178">
        <v>9.9499999999999993</v>
      </c>
      <c r="E178">
        <v>221.11</v>
      </c>
      <c r="F178" t="s">
        <v>11</v>
      </c>
      <c r="G178" t="s">
        <v>12</v>
      </c>
      <c r="H178" t="s">
        <v>42</v>
      </c>
      <c r="I178" t="s">
        <v>21</v>
      </c>
    </row>
    <row r="179" spans="1:9" x14ac:dyDescent="0.25">
      <c r="A179">
        <v>10637</v>
      </c>
      <c r="B179" s="4" t="s">
        <v>76</v>
      </c>
      <c r="C179" t="s">
        <v>10</v>
      </c>
      <c r="D179">
        <v>3.49</v>
      </c>
      <c r="E179">
        <v>630.37</v>
      </c>
      <c r="F179" t="s">
        <v>11</v>
      </c>
      <c r="G179" t="s">
        <v>12</v>
      </c>
      <c r="H179" t="s">
        <v>42</v>
      </c>
      <c r="I179" t="s">
        <v>21</v>
      </c>
    </row>
    <row r="180" spans="1:9" x14ac:dyDescent="0.25">
      <c r="A180">
        <v>10638</v>
      </c>
      <c r="B180" s="4" t="s">
        <v>76</v>
      </c>
      <c r="C180" t="s">
        <v>15</v>
      </c>
      <c r="D180">
        <v>2.95</v>
      </c>
      <c r="E180">
        <v>677.97</v>
      </c>
      <c r="F180" t="s">
        <v>11</v>
      </c>
      <c r="G180" t="s">
        <v>12</v>
      </c>
      <c r="H180" t="s">
        <v>42</v>
      </c>
      <c r="I180" t="s">
        <v>21</v>
      </c>
    </row>
    <row r="181" spans="1:9" x14ac:dyDescent="0.25">
      <c r="A181">
        <v>10639</v>
      </c>
      <c r="B181" s="4" t="s">
        <v>76</v>
      </c>
      <c r="C181" t="s">
        <v>18</v>
      </c>
      <c r="D181">
        <v>4.99</v>
      </c>
      <c r="E181">
        <v>200.4</v>
      </c>
      <c r="F181" t="s">
        <v>11</v>
      </c>
      <c r="G181" t="s">
        <v>12</v>
      </c>
      <c r="H181" t="s">
        <v>42</v>
      </c>
      <c r="I181" t="s">
        <v>21</v>
      </c>
    </row>
    <row r="182" spans="1:9" x14ac:dyDescent="0.25">
      <c r="A182">
        <v>10640</v>
      </c>
      <c r="B182" s="4" t="s">
        <v>77</v>
      </c>
      <c r="C182" t="s">
        <v>23</v>
      </c>
      <c r="D182">
        <v>12.99</v>
      </c>
      <c r="E182">
        <v>538.88</v>
      </c>
      <c r="F182" t="s">
        <v>11</v>
      </c>
      <c r="G182" t="s">
        <v>12</v>
      </c>
      <c r="H182" t="s">
        <v>42</v>
      </c>
      <c r="I182" t="s">
        <v>21</v>
      </c>
    </row>
    <row r="183" spans="1:9" x14ac:dyDescent="0.25">
      <c r="A183">
        <v>10641</v>
      </c>
      <c r="B183" s="4" t="s">
        <v>77</v>
      </c>
      <c r="C183" t="s">
        <v>27</v>
      </c>
      <c r="D183">
        <v>9.9499999999999993</v>
      </c>
      <c r="E183">
        <v>221.11</v>
      </c>
      <c r="F183" t="s">
        <v>11</v>
      </c>
      <c r="G183" t="s">
        <v>12</v>
      </c>
      <c r="H183" t="s">
        <v>42</v>
      </c>
      <c r="I183" t="s">
        <v>21</v>
      </c>
    </row>
    <row r="184" spans="1:9" x14ac:dyDescent="0.25">
      <c r="A184">
        <v>10642</v>
      </c>
      <c r="B184" s="4" t="s">
        <v>77</v>
      </c>
      <c r="C184" t="s">
        <v>10</v>
      </c>
      <c r="D184">
        <v>3.49</v>
      </c>
      <c r="E184">
        <v>630.37</v>
      </c>
      <c r="F184" t="s">
        <v>11</v>
      </c>
      <c r="G184" t="s">
        <v>50</v>
      </c>
      <c r="H184" t="s">
        <v>42</v>
      </c>
      <c r="I184" t="s">
        <v>21</v>
      </c>
    </row>
    <row r="185" spans="1:9" x14ac:dyDescent="0.25">
      <c r="A185">
        <v>10643</v>
      </c>
      <c r="B185" s="4" t="s">
        <v>77</v>
      </c>
      <c r="C185" t="s">
        <v>15</v>
      </c>
      <c r="D185">
        <v>2.95</v>
      </c>
      <c r="E185">
        <v>677.97</v>
      </c>
      <c r="F185" t="s">
        <v>11</v>
      </c>
      <c r="G185" t="s">
        <v>50</v>
      </c>
      <c r="H185" t="s">
        <v>42</v>
      </c>
      <c r="I185" t="s">
        <v>21</v>
      </c>
    </row>
    <row r="186" spans="1:9" x14ac:dyDescent="0.25">
      <c r="A186">
        <v>10644</v>
      </c>
      <c r="B186" s="4" t="s">
        <v>77</v>
      </c>
      <c r="C186" t="s">
        <v>18</v>
      </c>
      <c r="D186">
        <v>4.99</v>
      </c>
      <c r="E186">
        <v>200.4</v>
      </c>
      <c r="F186" t="s">
        <v>11</v>
      </c>
      <c r="G186" t="s">
        <v>50</v>
      </c>
      <c r="H186" t="s">
        <v>42</v>
      </c>
      <c r="I186" t="s">
        <v>21</v>
      </c>
    </row>
    <row r="187" spans="1:9" x14ac:dyDescent="0.25">
      <c r="A187">
        <v>10645</v>
      </c>
      <c r="B187" s="4" t="s">
        <v>78</v>
      </c>
      <c r="C187" t="s">
        <v>23</v>
      </c>
      <c r="D187">
        <v>12.99</v>
      </c>
      <c r="E187">
        <v>569.66999999999996</v>
      </c>
      <c r="F187" t="s">
        <v>11</v>
      </c>
      <c r="G187" t="s">
        <v>50</v>
      </c>
      <c r="H187" t="s">
        <v>42</v>
      </c>
      <c r="I187" t="s">
        <v>21</v>
      </c>
    </row>
    <row r="188" spans="1:9" x14ac:dyDescent="0.25">
      <c r="A188">
        <v>10646</v>
      </c>
      <c r="B188" s="4" t="s">
        <v>78</v>
      </c>
      <c r="C188" t="s">
        <v>27</v>
      </c>
      <c r="D188">
        <v>9.9499999999999993</v>
      </c>
      <c r="E188">
        <v>221.11</v>
      </c>
      <c r="F188" t="s">
        <v>11</v>
      </c>
      <c r="G188" t="s">
        <v>50</v>
      </c>
      <c r="H188" t="s">
        <v>42</v>
      </c>
      <c r="I188" t="s">
        <v>21</v>
      </c>
    </row>
    <row r="189" spans="1:9" x14ac:dyDescent="0.25">
      <c r="A189">
        <v>10647</v>
      </c>
      <c r="B189" s="4" t="s">
        <v>78</v>
      </c>
      <c r="C189" t="s">
        <v>10</v>
      </c>
      <c r="D189">
        <v>3.49</v>
      </c>
      <c r="E189">
        <v>630.37</v>
      </c>
      <c r="F189" t="s">
        <v>11</v>
      </c>
      <c r="G189" t="s">
        <v>12</v>
      </c>
      <c r="H189" t="s">
        <v>42</v>
      </c>
      <c r="I189" t="s">
        <v>21</v>
      </c>
    </row>
    <row r="190" spans="1:9" x14ac:dyDescent="0.25">
      <c r="A190">
        <v>10648</v>
      </c>
      <c r="B190" s="4" t="s">
        <v>78</v>
      </c>
      <c r="C190" t="s">
        <v>15</v>
      </c>
      <c r="D190">
        <v>2.95</v>
      </c>
      <c r="E190">
        <v>745.76</v>
      </c>
      <c r="F190" t="s">
        <v>11</v>
      </c>
      <c r="G190" t="s">
        <v>12</v>
      </c>
      <c r="H190" t="s">
        <v>42</v>
      </c>
      <c r="I190" t="s">
        <v>21</v>
      </c>
    </row>
    <row r="191" spans="1:9" x14ac:dyDescent="0.25">
      <c r="A191">
        <v>10649</v>
      </c>
      <c r="B191" s="4" t="s">
        <v>78</v>
      </c>
      <c r="C191" t="s">
        <v>18</v>
      </c>
      <c r="D191">
        <v>4.99</v>
      </c>
      <c r="E191">
        <v>200.4</v>
      </c>
      <c r="F191" t="s">
        <v>11</v>
      </c>
      <c r="G191" t="s">
        <v>12</v>
      </c>
      <c r="H191" t="s">
        <v>42</v>
      </c>
      <c r="I191" t="s">
        <v>21</v>
      </c>
    </row>
    <row r="192" spans="1:9" x14ac:dyDescent="0.25">
      <c r="A192">
        <v>10650</v>
      </c>
      <c r="B192" s="4" t="s">
        <v>79</v>
      </c>
      <c r="C192" t="s">
        <v>23</v>
      </c>
      <c r="D192">
        <v>12.99</v>
      </c>
      <c r="E192">
        <v>585.07000000000005</v>
      </c>
      <c r="F192" t="s">
        <v>11</v>
      </c>
      <c r="G192" t="s">
        <v>12</v>
      </c>
      <c r="H192" t="s">
        <v>42</v>
      </c>
      <c r="I192" t="s">
        <v>21</v>
      </c>
    </row>
    <row r="193" spans="1:9" x14ac:dyDescent="0.25">
      <c r="A193">
        <v>10651</v>
      </c>
      <c r="B193" s="4" t="s">
        <v>79</v>
      </c>
      <c r="C193" t="s">
        <v>27</v>
      </c>
      <c r="D193">
        <v>9.9499999999999993</v>
      </c>
      <c r="E193">
        <v>221.11</v>
      </c>
      <c r="F193" t="s">
        <v>11</v>
      </c>
      <c r="G193" t="s">
        <v>12</v>
      </c>
      <c r="H193" t="s">
        <v>42</v>
      </c>
      <c r="I193" t="s">
        <v>21</v>
      </c>
    </row>
    <row r="194" spans="1:9" x14ac:dyDescent="0.25">
      <c r="A194">
        <v>10652</v>
      </c>
      <c r="B194" s="4" t="s">
        <v>79</v>
      </c>
      <c r="C194" t="s">
        <v>10</v>
      </c>
      <c r="D194">
        <v>3.49</v>
      </c>
      <c r="E194">
        <v>687.68</v>
      </c>
      <c r="F194" t="s">
        <v>11</v>
      </c>
      <c r="G194" t="s">
        <v>12</v>
      </c>
      <c r="H194" t="s">
        <v>42</v>
      </c>
      <c r="I194" t="s">
        <v>21</v>
      </c>
    </row>
    <row r="195" spans="1:9" x14ac:dyDescent="0.25">
      <c r="A195">
        <v>10653</v>
      </c>
      <c r="B195" s="4" t="s">
        <v>79</v>
      </c>
      <c r="C195" t="s">
        <v>15</v>
      </c>
      <c r="D195">
        <v>2.95</v>
      </c>
      <c r="E195">
        <v>745.76</v>
      </c>
      <c r="F195" t="s">
        <v>11</v>
      </c>
      <c r="G195" t="s">
        <v>12</v>
      </c>
      <c r="H195" t="s">
        <v>42</v>
      </c>
      <c r="I195" t="s">
        <v>21</v>
      </c>
    </row>
    <row r="196" spans="1:9" x14ac:dyDescent="0.25">
      <c r="A196">
        <v>10654</v>
      </c>
      <c r="B196" s="4" t="s">
        <v>79</v>
      </c>
      <c r="C196" t="s">
        <v>18</v>
      </c>
      <c r="D196">
        <v>4.99</v>
      </c>
      <c r="E196">
        <v>200.4</v>
      </c>
      <c r="F196" t="s">
        <v>11</v>
      </c>
      <c r="G196" t="s">
        <v>12</v>
      </c>
      <c r="H196" t="s">
        <v>42</v>
      </c>
      <c r="I196" t="s">
        <v>21</v>
      </c>
    </row>
    <row r="197" spans="1:9" x14ac:dyDescent="0.25">
      <c r="A197">
        <v>10655</v>
      </c>
      <c r="B197" s="4" t="s">
        <v>80</v>
      </c>
      <c r="C197" t="s">
        <v>23</v>
      </c>
      <c r="D197">
        <v>12.99</v>
      </c>
      <c r="E197">
        <v>600.46</v>
      </c>
      <c r="F197" t="s">
        <v>11</v>
      </c>
      <c r="G197" t="s">
        <v>12</v>
      </c>
      <c r="H197" t="s">
        <v>42</v>
      </c>
      <c r="I197" t="s">
        <v>21</v>
      </c>
    </row>
    <row r="198" spans="1:9" x14ac:dyDescent="0.25">
      <c r="A198">
        <v>10656</v>
      </c>
      <c r="B198" s="4" t="s">
        <v>80</v>
      </c>
      <c r="C198" t="s">
        <v>27</v>
      </c>
      <c r="D198">
        <v>9.9499999999999993</v>
      </c>
      <c r="E198">
        <v>221.11</v>
      </c>
      <c r="F198" t="s">
        <v>11</v>
      </c>
      <c r="G198" t="s">
        <v>12</v>
      </c>
      <c r="H198" t="s">
        <v>42</v>
      </c>
      <c r="I198" t="s">
        <v>21</v>
      </c>
    </row>
    <row r="199" spans="1:9" x14ac:dyDescent="0.25">
      <c r="A199">
        <v>10657</v>
      </c>
      <c r="B199" s="4" t="s">
        <v>80</v>
      </c>
      <c r="C199" t="s">
        <v>10</v>
      </c>
      <c r="D199">
        <v>3.49</v>
      </c>
      <c r="E199">
        <v>687.68</v>
      </c>
      <c r="F199" t="s">
        <v>11</v>
      </c>
      <c r="G199" t="s">
        <v>12</v>
      </c>
      <c r="H199" t="s">
        <v>42</v>
      </c>
      <c r="I199" t="s">
        <v>21</v>
      </c>
    </row>
    <row r="200" spans="1:9" x14ac:dyDescent="0.25">
      <c r="A200">
        <v>10658</v>
      </c>
      <c r="B200" s="4" t="s">
        <v>80</v>
      </c>
      <c r="C200" t="s">
        <v>15</v>
      </c>
      <c r="D200">
        <v>2.95</v>
      </c>
      <c r="E200">
        <v>745.76</v>
      </c>
      <c r="F200" t="s">
        <v>11</v>
      </c>
      <c r="G200" t="s">
        <v>50</v>
      </c>
      <c r="H200" t="s">
        <v>42</v>
      </c>
      <c r="I200" t="s">
        <v>21</v>
      </c>
    </row>
    <row r="201" spans="1:9" x14ac:dyDescent="0.25">
      <c r="A201">
        <v>10659</v>
      </c>
      <c r="B201" s="4" t="s">
        <v>80</v>
      </c>
      <c r="C201" t="s">
        <v>18</v>
      </c>
      <c r="D201">
        <v>4.99</v>
      </c>
      <c r="E201">
        <v>200.4</v>
      </c>
      <c r="F201" t="s">
        <v>11</v>
      </c>
      <c r="G201" t="s">
        <v>50</v>
      </c>
      <c r="H201" t="s">
        <v>42</v>
      </c>
      <c r="I201" t="s">
        <v>21</v>
      </c>
    </row>
    <row r="202" spans="1:9" x14ac:dyDescent="0.25">
      <c r="A202">
        <v>10660</v>
      </c>
      <c r="B202" s="4" t="s">
        <v>81</v>
      </c>
      <c r="C202" t="s">
        <v>23</v>
      </c>
      <c r="D202">
        <v>12.99</v>
      </c>
      <c r="E202">
        <v>631.25</v>
      </c>
      <c r="F202" t="s">
        <v>19</v>
      </c>
      <c r="G202" t="s">
        <v>50</v>
      </c>
      <c r="H202" t="s">
        <v>42</v>
      </c>
      <c r="I202" t="s">
        <v>21</v>
      </c>
    </row>
    <row r="203" spans="1:9" x14ac:dyDescent="0.25">
      <c r="A203">
        <v>10661</v>
      </c>
      <c r="B203" s="4" t="s">
        <v>81</v>
      </c>
      <c r="C203" t="s">
        <v>27</v>
      </c>
      <c r="D203">
        <v>9.9499999999999993</v>
      </c>
      <c r="E203">
        <v>221.11</v>
      </c>
      <c r="F203" t="s">
        <v>19</v>
      </c>
      <c r="G203" t="s">
        <v>50</v>
      </c>
      <c r="H203" t="s">
        <v>42</v>
      </c>
      <c r="I203" t="s">
        <v>21</v>
      </c>
    </row>
    <row r="204" spans="1:9" x14ac:dyDescent="0.25">
      <c r="A204">
        <v>10662</v>
      </c>
      <c r="B204" s="4" t="s">
        <v>81</v>
      </c>
      <c r="C204" t="s">
        <v>10</v>
      </c>
      <c r="D204">
        <v>3.49</v>
      </c>
      <c r="E204">
        <v>630.37</v>
      </c>
      <c r="F204" t="s">
        <v>19</v>
      </c>
      <c r="G204" t="s">
        <v>50</v>
      </c>
      <c r="H204" t="s">
        <v>42</v>
      </c>
      <c r="I204" t="s">
        <v>21</v>
      </c>
    </row>
    <row r="205" spans="1:9" x14ac:dyDescent="0.25">
      <c r="A205">
        <v>10663</v>
      </c>
      <c r="B205" s="4" t="s">
        <v>81</v>
      </c>
      <c r="C205" t="s">
        <v>15</v>
      </c>
      <c r="D205">
        <v>2.95</v>
      </c>
      <c r="E205">
        <v>745.76</v>
      </c>
      <c r="F205" t="s">
        <v>19</v>
      </c>
      <c r="G205" t="s">
        <v>50</v>
      </c>
      <c r="H205" t="s">
        <v>42</v>
      </c>
      <c r="I205" t="s">
        <v>21</v>
      </c>
    </row>
    <row r="206" spans="1:9" x14ac:dyDescent="0.25">
      <c r="A206">
        <v>10664</v>
      </c>
      <c r="B206" s="4" t="s">
        <v>81</v>
      </c>
      <c r="C206" t="s">
        <v>18</v>
      </c>
      <c r="D206">
        <v>4.99</v>
      </c>
      <c r="E206">
        <v>200.4</v>
      </c>
      <c r="F206" t="s">
        <v>19</v>
      </c>
      <c r="G206" t="s">
        <v>50</v>
      </c>
      <c r="H206" t="s">
        <v>42</v>
      </c>
      <c r="I206" t="s">
        <v>21</v>
      </c>
    </row>
    <row r="207" spans="1:9" x14ac:dyDescent="0.25">
      <c r="A207">
        <v>10665</v>
      </c>
      <c r="B207" s="4" t="s">
        <v>82</v>
      </c>
      <c r="C207" t="s">
        <v>23</v>
      </c>
      <c r="D207">
        <v>12.99</v>
      </c>
      <c r="E207">
        <v>646.65</v>
      </c>
      <c r="F207" t="s">
        <v>19</v>
      </c>
      <c r="G207" t="s">
        <v>50</v>
      </c>
      <c r="H207" t="s">
        <v>42</v>
      </c>
      <c r="I207" t="s">
        <v>21</v>
      </c>
    </row>
    <row r="208" spans="1:9" x14ac:dyDescent="0.25">
      <c r="A208">
        <v>10666</v>
      </c>
      <c r="B208" s="4" t="s">
        <v>82</v>
      </c>
      <c r="C208" t="s">
        <v>27</v>
      </c>
      <c r="D208">
        <v>9.9499999999999993</v>
      </c>
      <c r="E208">
        <v>221.11</v>
      </c>
      <c r="F208" t="s">
        <v>19</v>
      </c>
      <c r="G208" t="s">
        <v>50</v>
      </c>
      <c r="H208" t="s">
        <v>42</v>
      </c>
      <c r="I208" t="s">
        <v>21</v>
      </c>
    </row>
    <row r="209" spans="1:9" x14ac:dyDescent="0.25">
      <c r="A209">
        <v>10667</v>
      </c>
      <c r="B209" s="4" t="s">
        <v>82</v>
      </c>
      <c r="C209" t="s">
        <v>10</v>
      </c>
      <c r="D209">
        <v>3.49</v>
      </c>
      <c r="E209">
        <v>630.37</v>
      </c>
      <c r="F209" t="s">
        <v>19</v>
      </c>
      <c r="G209" t="s">
        <v>50</v>
      </c>
      <c r="H209" t="s">
        <v>42</v>
      </c>
      <c r="I209" t="s">
        <v>21</v>
      </c>
    </row>
    <row r="210" spans="1:9" x14ac:dyDescent="0.25">
      <c r="A210">
        <v>10668</v>
      </c>
      <c r="B210" s="4" t="s">
        <v>82</v>
      </c>
      <c r="C210" t="s">
        <v>15</v>
      </c>
      <c r="D210">
        <v>2.95</v>
      </c>
      <c r="E210">
        <v>745.76</v>
      </c>
      <c r="F210" t="s">
        <v>19</v>
      </c>
      <c r="G210" t="s">
        <v>50</v>
      </c>
      <c r="H210" t="s">
        <v>42</v>
      </c>
      <c r="I210" t="s">
        <v>21</v>
      </c>
    </row>
    <row r="211" spans="1:9" x14ac:dyDescent="0.25">
      <c r="A211">
        <v>10669</v>
      </c>
      <c r="B211" s="4" t="s">
        <v>82</v>
      </c>
      <c r="C211" t="s">
        <v>18</v>
      </c>
      <c r="D211">
        <v>4.99</v>
      </c>
      <c r="E211">
        <v>200.4</v>
      </c>
      <c r="F211" t="s">
        <v>19</v>
      </c>
      <c r="G211" t="s">
        <v>50</v>
      </c>
      <c r="H211" t="s">
        <v>42</v>
      </c>
      <c r="I211" t="s">
        <v>21</v>
      </c>
    </row>
    <row r="212" spans="1:9" x14ac:dyDescent="0.25">
      <c r="A212">
        <v>10670</v>
      </c>
      <c r="B212" s="4" t="s">
        <v>83</v>
      </c>
      <c r="C212" t="s">
        <v>23</v>
      </c>
      <c r="D212">
        <v>12.99</v>
      </c>
      <c r="E212">
        <v>677.44</v>
      </c>
      <c r="F212" t="s">
        <v>19</v>
      </c>
      <c r="G212" t="s">
        <v>50</v>
      </c>
      <c r="H212" t="s">
        <v>42</v>
      </c>
      <c r="I212" t="s">
        <v>21</v>
      </c>
    </row>
    <row r="213" spans="1:9" x14ac:dyDescent="0.25">
      <c r="A213">
        <v>10671</v>
      </c>
      <c r="B213" s="4" t="s">
        <v>83</v>
      </c>
      <c r="C213" t="s">
        <v>27</v>
      </c>
      <c r="D213">
        <v>9.9499999999999993</v>
      </c>
      <c r="E213">
        <v>221.11</v>
      </c>
      <c r="F213" t="s">
        <v>19</v>
      </c>
      <c r="G213" t="s">
        <v>50</v>
      </c>
      <c r="H213" t="s">
        <v>42</v>
      </c>
      <c r="I213" t="s">
        <v>21</v>
      </c>
    </row>
    <row r="214" spans="1:9" x14ac:dyDescent="0.25">
      <c r="A214">
        <v>10672</v>
      </c>
      <c r="B214" s="4" t="s">
        <v>83</v>
      </c>
      <c r="C214" t="s">
        <v>10</v>
      </c>
      <c r="D214">
        <v>3.49</v>
      </c>
      <c r="E214">
        <v>630.37</v>
      </c>
      <c r="F214" t="s">
        <v>19</v>
      </c>
      <c r="G214" t="s">
        <v>50</v>
      </c>
      <c r="H214" t="s">
        <v>42</v>
      </c>
      <c r="I214" t="s">
        <v>21</v>
      </c>
    </row>
    <row r="215" spans="1:9" x14ac:dyDescent="0.25">
      <c r="A215">
        <v>10673</v>
      </c>
      <c r="B215" s="4" t="s">
        <v>83</v>
      </c>
      <c r="C215" t="s">
        <v>15</v>
      </c>
      <c r="D215">
        <v>2.95</v>
      </c>
      <c r="E215">
        <v>745.76</v>
      </c>
      <c r="F215" t="s">
        <v>19</v>
      </c>
      <c r="G215" t="s">
        <v>50</v>
      </c>
      <c r="H215" t="s">
        <v>42</v>
      </c>
      <c r="I215" t="s">
        <v>21</v>
      </c>
    </row>
    <row r="216" spans="1:9" x14ac:dyDescent="0.25">
      <c r="A216">
        <v>10674</v>
      </c>
      <c r="B216" s="4" t="s">
        <v>83</v>
      </c>
      <c r="C216" t="s">
        <v>18</v>
      </c>
      <c r="D216">
        <v>4.99</v>
      </c>
      <c r="E216">
        <v>200.4</v>
      </c>
      <c r="F216" t="s">
        <v>19</v>
      </c>
      <c r="G216" t="s">
        <v>50</v>
      </c>
      <c r="H216" t="s">
        <v>42</v>
      </c>
      <c r="I216" t="s">
        <v>21</v>
      </c>
    </row>
    <row r="217" spans="1:9" x14ac:dyDescent="0.25">
      <c r="A217">
        <v>10675</v>
      </c>
      <c r="B217" s="4" t="s">
        <v>84</v>
      </c>
      <c r="C217" t="s">
        <v>23</v>
      </c>
      <c r="D217">
        <v>12.99</v>
      </c>
      <c r="E217">
        <v>677.44</v>
      </c>
      <c r="F217" t="s">
        <v>19</v>
      </c>
      <c r="G217" t="s">
        <v>50</v>
      </c>
      <c r="H217" t="s">
        <v>42</v>
      </c>
      <c r="I217" t="s">
        <v>21</v>
      </c>
    </row>
    <row r="218" spans="1:9" x14ac:dyDescent="0.25">
      <c r="A218">
        <v>10676</v>
      </c>
      <c r="B218" s="4" t="s">
        <v>84</v>
      </c>
      <c r="C218" t="s">
        <v>27</v>
      </c>
      <c r="D218">
        <v>9.9499999999999993</v>
      </c>
      <c r="E218">
        <v>241.21</v>
      </c>
      <c r="F218" t="s">
        <v>19</v>
      </c>
      <c r="G218" t="s">
        <v>50</v>
      </c>
      <c r="H218" t="s">
        <v>42</v>
      </c>
      <c r="I218" t="s">
        <v>21</v>
      </c>
    </row>
    <row r="219" spans="1:9" x14ac:dyDescent="0.25">
      <c r="A219">
        <v>10677</v>
      </c>
      <c r="B219" s="4" t="s">
        <v>84</v>
      </c>
      <c r="C219" t="s">
        <v>10</v>
      </c>
      <c r="D219">
        <v>3.49</v>
      </c>
      <c r="E219">
        <v>630.37</v>
      </c>
      <c r="F219" t="s">
        <v>19</v>
      </c>
      <c r="G219" t="s">
        <v>50</v>
      </c>
      <c r="H219" t="s">
        <v>42</v>
      </c>
      <c r="I219" t="s">
        <v>21</v>
      </c>
    </row>
    <row r="220" spans="1:9" x14ac:dyDescent="0.25">
      <c r="A220">
        <v>10678</v>
      </c>
      <c r="B220" s="4" t="s">
        <v>84</v>
      </c>
      <c r="C220" t="s">
        <v>15</v>
      </c>
      <c r="D220">
        <v>2.95</v>
      </c>
      <c r="E220">
        <v>745.76</v>
      </c>
      <c r="F220" t="s">
        <v>19</v>
      </c>
      <c r="G220" t="s">
        <v>50</v>
      </c>
      <c r="H220" t="s">
        <v>42</v>
      </c>
      <c r="I220" t="s">
        <v>21</v>
      </c>
    </row>
    <row r="221" spans="1:9" x14ac:dyDescent="0.25">
      <c r="A221">
        <v>10679</v>
      </c>
      <c r="B221" s="4" t="s">
        <v>84</v>
      </c>
      <c r="C221" t="s">
        <v>18</v>
      </c>
      <c r="D221">
        <v>4.99</v>
      </c>
      <c r="E221">
        <v>200.4</v>
      </c>
      <c r="F221" t="s">
        <v>19</v>
      </c>
      <c r="G221" t="s">
        <v>50</v>
      </c>
      <c r="H221" t="s">
        <v>42</v>
      </c>
      <c r="I221" t="s">
        <v>21</v>
      </c>
    </row>
    <row r="222" spans="1:9" x14ac:dyDescent="0.25">
      <c r="A222">
        <v>10680</v>
      </c>
      <c r="B222" s="4" t="s">
        <v>85</v>
      </c>
      <c r="C222" t="s">
        <v>23</v>
      </c>
      <c r="D222">
        <v>12.99</v>
      </c>
      <c r="E222">
        <v>646.65</v>
      </c>
      <c r="F222" t="s">
        <v>19</v>
      </c>
      <c r="G222" t="s">
        <v>50</v>
      </c>
      <c r="H222" t="s">
        <v>42</v>
      </c>
      <c r="I222" t="s">
        <v>21</v>
      </c>
    </row>
    <row r="223" spans="1:9" x14ac:dyDescent="0.25">
      <c r="A223">
        <v>10681</v>
      </c>
      <c r="B223" s="4" t="s">
        <v>85</v>
      </c>
      <c r="C223" t="s">
        <v>27</v>
      </c>
      <c r="D223">
        <v>9.9499999999999993</v>
      </c>
      <c r="E223">
        <v>241.21</v>
      </c>
      <c r="F223" t="s">
        <v>19</v>
      </c>
      <c r="G223" t="s">
        <v>50</v>
      </c>
      <c r="H223" t="s">
        <v>42</v>
      </c>
      <c r="I223" t="s">
        <v>21</v>
      </c>
    </row>
    <row r="224" spans="1:9" x14ac:dyDescent="0.25">
      <c r="A224">
        <v>10682</v>
      </c>
      <c r="B224" s="4" t="s">
        <v>85</v>
      </c>
      <c r="C224" t="s">
        <v>10</v>
      </c>
      <c r="D224">
        <v>3.49</v>
      </c>
      <c r="E224">
        <v>630.37</v>
      </c>
      <c r="F224" t="s">
        <v>19</v>
      </c>
      <c r="G224" t="s">
        <v>50</v>
      </c>
      <c r="H224" t="s">
        <v>42</v>
      </c>
      <c r="I224" t="s">
        <v>21</v>
      </c>
    </row>
    <row r="225" spans="1:9" x14ac:dyDescent="0.25">
      <c r="A225">
        <v>10683</v>
      </c>
      <c r="B225" s="4" t="s">
        <v>85</v>
      </c>
      <c r="C225" t="s">
        <v>15</v>
      </c>
      <c r="D225">
        <v>2.95</v>
      </c>
      <c r="E225">
        <v>677.97</v>
      </c>
      <c r="F225" t="s">
        <v>19</v>
      </c>
      <c r="G225" t="s">
        <v>50</v>
      </c>
      <c r="H225" t="s">
        <v>42</v>
      </c>
      <c r="I225" t="s">
        <v>21</v>
      </c>
    </row>
    <row r="226" spans="1:9" x14ac:dyDescent="0.25">
      <c r="A226">
        <v>10684</v>
      </c>
      <c r="B226" s="4" t="s">
        <v>85</v>
      </c>
      <c r="C226" t="s">
        <v>18</v>
      </c>
      <c r="D226">
        <v>4.99</v>
      </c>
      <c r="E226">
        <v>200.4</v>
      </c>
      <c r="F226" t="s">
        <v>19</v>
      </c>
      <c r="G226" t="s">
        <v>50</v>
      </c>
      <c r="H226" t="s">
        <v>42</v>
      </c>
      <c r="I226" t="s">
        <v>21</v>
      </c>
    </row>
    <row r="227" spans="1:9" x14ac:dyDescent="0.25">
      <c r="A227">
        <v>10685</v>
      </c>
      <c r="B227" s="4" t="s">
        <v>86</v>
      </c>
      <c r="C227" t="s">
        <v>23</v>
      </c>
      <c r="D227">
        <v>12.99</v>
      </c>
      <c r="E227">
        <v>677.44</v>
      </c>
      <c r="F227" t="s">
        <v>19</v>
      </c>
      <c r="G227" t="s">
        <v>50</v>
      </c>
      <c r="H227" t="s">
        <v>42</v>
      </c>
      <c r="I227" t="s">
        <v>21</v>
      </c>
    </row>
    <row r="228" spans="1:9" x14ac:dyDescent="0.25">
      <c r="A228">
        <v>10686</v>
      </c>
      <c r="B228" s="4" t="s">
        <v>86</v>
      </c>
      <c r="C228" t="s">
        <v>27</v>
      </c>
      <c r="D228">
        <v>9.9499999999999993</v>
      </c>
      <c r="E228">
        <v>241.21</v>
      </c>
      <c r="F228" t="s">
        <v>19</v>
      </c>
      <c r="G228" t="s">
        <v>50</v>
      </c>
      <c r="H228" t="s">
        <v>42</v>
      </c>
      <c r="I228" t="s">
        <v>21</v>
      </c>
    </row>
    <row r="229" spans="1:9" x14ac:dyDescent="0.25">
      <c r="A229">
        <v>10687</v>
      </c>
      <c r="B229" s="4" t="s">
        <v>86</v>
      </c>
      <c r="C229" t="s">
        <v>10</v>
      </c>
      <c r="D229">
        <v>3.49</v>
      </c>
      <c r="E229">
        <v>630.37</v>
      </c>
      <c r="F229" t="s">
        <v>19</v>
      </c>
      <c r="G229" t="s">
        <v>50</v>
      </c>
      <c r="H229" t="s">
        <v>25</v>
      </c>
      <c r="I229" t="s">
        <v>26</v>
      </c>
    </row>
    <row r="230" spans="1:9" x14ac:dyDescent="0.25">
      <c r="A230">
        <v>10688</v>
      </c>
      <c r="B230" s="4" t="s">
        <v>86</v>
      </c>
      <c r="C230" t="s">
        <v>15</v>
      </c>
      <c r="D230">
        <v>2.95</v>
      </c>
      <c r="E230">
        <v>677.97</v>
      </c>
      <c r="F230" t="s">
        <v>19</v>
      </c>
      <c r="G230" t="s">
        <v>50</v>
      </c>
      <c r="H230" t="s">
        <v>25</v>
      </c>
      <c r="I230" t="s">
        <v>26</v>
      </c>
    </row>
    <row r="231" spans="1:9" x14ac:dyDescent="0.25">
      <c r="A231">
        <v>10689</v>
      </c>
      <c r="B231" s="4" t="s">
        <v>86</v>
      </c>
      <c r="C231" t="s">
        <v>18</v>
      </c>
      <c r="D231">
        <v>4.99</v>
      </c>
      <c r="E231">
        <v>200.4</v>
      </c>
      <c r="F231" t="s">
        <v>19</v>
      </c>
      <c r="G231" t="s">
        <v>50</v>
      </c>
      <c r="H231" t="s">
        <v>25</v>
      </c>
      <c r="I231" t="s">
        <v>26</v>
      </c>
    </row>
    <row r="232" spans="1:9" x14ac:dyDescent="0.25">
      <c r="A232">
        <v>10690</v>
      </c>
      <c r="B232" s="4" t="s">
        <v>87</v>
      </c>
      <c r="C232" t="s">
        <v>23</v>
      </c>
      <c r="D232">
        <v>12.99</v>
      </c>
      <c r="E232">
        <v>677.44</v>
      </c>
      <c r="F232" t="s">
        <v>19</v>
      </c>
      <c r="G232" t="s">
        <v>50</v>
      </c>
      <c r="H232" t="s">
        <v>25</v>
      </c>
      <c r="I232" t="s">
        <v>26</v>
      </c>
    </row>
    <row r="233" spans="1:9" x14ac:dyDescent="0.25">
      <c r="A233">
        <v>10691</v>
      </c>
      <c r="B233" s="4" t="s">
        <v>87</v>
      </c>
      <c r="C233" t="s">
        <v>27</v>
      </c>
      <c r="D233">
        <v>9.9499999999999993</v>
      </c>
      <c r="E233">
        <v>261.31</v>
      </c>
      <c r="F233" t="s">
        <v>19</v>
      </c>
      <c r="G233" t="s">
        <v>50</v>
      </c>
      <c r="H233" t="s">
        <v>25</v>
      </c>
      <c r="I233" t="s">
        <v>26</v>
      </c>
    </row>
    <row r="234" spans="1:9" x14ac:dyDescent="0.25">
      <c r="A234">
        <v>10692</v>
      </c>
      <c r="B234" s="4" t="s">
        <v>87</v>
      </c>
      <c r="C234" t="s">
        <v>10</v>
      </c>
      <c r="D234">
        <v>3.49</v>
      </c>
      <c r="E234">
        <v>630.37</v>
      </c>
      <c r="F234" t="s">
        <v>19</v>
      </c>
      <c r="G234" t="s">
        <v>50</v>
      </c>
      <c r="H234" t="s">
        <v>25</v>
      </c>
      <c r="I234" t="s">
        <v>26</v>
      </c>
    </row>
    <row r="235" spans="1:9" x14ac:dyDescent="0.25">
      <c r="A235">
        <v>10693</v>
      </c>
      <c r="B235" s="4" t="s">
        <v>87</v>
      </c>
      <c r="C235" t="s">
        <v>15</v>
      </c>
      <c r="D235">
        <v>2.95</v>
      </c>
      <c r="E235">
        <v>677.97</v>
      </c>
      <c r="F235" t="s">
        <v>19</v>
      </c>
      <c r="G235" t="s">
        <v>50</v>
      </c>
      <c r="H235" t="s">
        <v>25</v>
      </c>
      <c r="I235" t="s">
        <v>26</v>
      </c>
    </row>
    <row r="236" spans="1:9" x14ac:dyDescent="0.25">
      <c r="A236">
        <v>10694</v>
      </c>
      <c r="B236" s="4" t="s">
        <v>87</v>
      </c>
      <c r="C236" t="s">
        <v>18</v>
      </c>
      <c r="D236">
        <v>4.99</v>
      </c>
      <c r="E236">
        <v>200.4</v>
      </c>
      <c r="F236" t="s">
        <v>19</v>
      </c>
      <c r="G236" t="s">
        <v>50</v>
      </c>
      <c r="H236" t="s">
        <v>25</v>
      </c>
      <c r="I236" t="s">
        <v>26</v>
      </c>
    </row>
    <row r="237" spans="1:9" x14ac:dyDescent="0.25">
      <c r="A237">
        <v>10695</v>
      </c>
      <c r="B237" s="4" t="s">
        <v>88</v>
      </c>
      <c r="C237" t="s">
        <v>23</v>
      </c>
      <c r="D237">
        <v>12.99</v>
      </c>
      <c r="E237">
        <v>692.84</v>
      </c>
      <c r="F237" t="s">
        <v>19</v>
      </c>
      <c r="G237" t="s">
        <v>50</v>
      </c>
      <c r="H237" t="s">
        <v>25</v>
      </c>
      <c r="I237" t="s">
        <v>26</v>
      </c>
    </row>
    <row r="238" spans="1:9" x14ac:dyDescent="0.25">
      <c r="A238">
        <v>10696</v>
      </c>
      <c r="B238" s="4" t="s">
        <v>88</v>
      </c>
      <c r="C238" t="s">
        <v>27</v>
      </c>
      <c r="D238">
        <v>9.9499999999999993</v>
      </c>
      <c r="E238">
        <v>281.41000000000003</v>
      </c>
      <c r="F238" t="s">
        <v>19</v>
      </c>
      <c r="G238" t="s">
        <v>50</v>
      </c>
      <c r="H238" t="s">
        <v>25</v>
      </c>
      <c r="I238" t="s">
        <v>26</v>
      </c>
    </row>
    <row r="239" spans="1:9" x14ac:dyDescent="0.25">
      <c r="A239">
        <v>10697</v>
      </c>
      <c r="B239" s="4" t="s">
        <v>88</v>
      </c>
      <c r="C239" t="s">
        <v>10</v>
      </c>
      <c r="D239">
        <v>3.49</v>
      </c>
      <c r="E239">
        <v>630.37</v>
      </c>
      <c r="F239" t="s">
        <v>19</v>
      </c>
      <c r="G239" t="s">
        <v>50</v>
      </c>
      <c r="H239" t="s">
        <v>25</v>
      </c>
      <c r="I239" t="s">
        <v>26</v>
      </c>
    </row>
    <row r="240" spans="1:9" x14ac:dyDescent="0.25">
      <c r="A240">
        <v>10698</v>
      </c>
      <c r="B240" s="4" t="s">
        <v>88</v>
      </c>
      <c r="C240" t="s">
        <v>15</v>
      </c>
      <c r="D240">
        <v>2.95</v>
      </c>
      <c r="E240">
        <v>677.97</v>
      </c>
      <c r="F240" t="s">
        <v>19</v>
      </c>
      <c r="G240" t="s">
        <v>50</v>
      </c>
      <c r="H240" t="s">
        <v>25</v>
      </c>
      <c r="I240" t="s">
        <v>26</v>
      </c>
    </row>
    <row r="241" spans="1:9" x14ac:dyDescent="0.25">
      <c r="A241">
        <v>10699</v>
      </c>
      <c r="B241" s="4" t="s">
        <v>88</v>
      </c>
      <c r="C241" t="s">
        <v>18</v>
      </c>
      <c r="D241">
        <v>4.99</v>
      </c>
      <c r="E241">
        <v>200.4</v>
      </c>
      <c r="F241" t="s">
        <v>19</v>
      </c>
      <c r="G241" t="s">
        <v>50</v>
      </c>
      <c r="H241" t="s">
        <v>25</v>
      </c>
      <c r="I241" t="s">
        <v>26</v>
      </c>
    </row>
    <row r="242" spans="1:9" x14ac:dyDescent="0.25">
      <c r="A242">
        <v>10700</v>
      </c>
      <c r="B242" s="4" t="s">
        <v>89</v>
      </c>
      <c r="C242" t="s">
        <v>23</v>
      </c>
      <c r="D242">
        <v>12.99</v>
      </c>
      <c r="E242">
        <v>692.84</v>
      </c>
      <c r="F242" t="s">
        <v>19</v>
      </c>
      <c r="G242" t="s">
        <v>50</v>
      </c>
      <c r="H242" t="s">
        <v>25</v>
      </c>
      <c r="I242" t="s">
        <v>26</v>
      </c>
    </row>
    <row r="243" spans="1:9" x14ac:dyDescent="0.25">
      <c r="A243">
        <v>10701</v>
      </c>
      <c r="B243" s="4" t="s">
        <v>89</v>
      </c>
      <c r="C243" t="s">
        <v>27</v>
      </c>
      <c r="D243">
        <v>9.9499999999999993</v>
      </c>
      <c r="E243">
        <v>281.41000000000003</v>
      </c>
      <c r="F243" t="s">
        <v>19</v>
      </c>
      <c r="G243" t="s">
        <v>50</v>
      </c>
      <c r="H243" t="s">
        <v>25</v>
      </c>
      <c r="I243" t="s">
        <v>26</v>
      </c>
    </row>
    <row r="244" spans="1:9" x14ac:dyDescent="0.25">
      <c r="A244">
        <v>10702</v>
      </c>
      <c r="B244" s="4" t="s">
        <v>89</v>
      </c>
      <c r="C244" t="s">
        <v>10</v>
      </c>
      <c r="D244">
        <v>3.49</v>
      </c>
      <c r="E244">
        <v>630.37</v>
      </c>
      <c r="F244" t="s">
        <v>19</v>
      </c>
      <c r="G244" t="s">
        <v>50</v>
      </c>
      <c r="H244" t="s">
        <v>25</v>
      </c>
      <c r="I244" t="s">
        <v>26</v>
      </c>
    </row>
    <row r="245" spans="1:9" x14ac:dyDescent="0.25">
      <c r="A245">
        <v>10703</v>
      </c>
      <c r="B245" s="4" t="s">
        <v>89</v>
      </c>
      <c r="C245" t="s">
        <v>15</v>
      </c>
      <c r="D245">
        <v>2.95</v>
      </c>
      <c r="E245">
        <v>677.97</v>
      </c>
      <c r="F245" t="s">
        <v>19</v>
      </c>
      <c r="G245" t="s">
        <v>12</v>
      </c>
      <c r="H245" t="s">
        <v>25</v>
      </c>
      <c r="I245" t="s">
        <v>26</v>
      </c>
    </row>
    <row r="246" spans="1:9" x14ac:dyDescent="0.25">
      <c r="A246">
        <v>10704</v>
      </c>
      <c r="B246" s="4" t="s">
        <v>89</v>
      </c>
      <c r="C246" t="s">
        <v>18</v>
      </c>
      <c r="D246">
        <v>4.99</v>
      </c>
      <c r="E246">
        <v>200.4</v>
      </c>
      <c r="F246" t="s">
        <v>46</v>
      </c>
      <c r="G246" t="s">
        <v>12</v>
      </c>
      <c r="H246" t="s">
        <v>25</v>
      </c>
      <c r="I246" t="s">
        <v>26</v>
      </c>
    </row>
    <row r="247" spans="1:9" x14ac:dyDescent="0.25">
      <c r="A247">
        <v>10705</v>
      </c>
      <c r="B247" s="4" t="s">
        <v>90</v>
      </c>
      <c r="C247" t="s">
        <v>23</v>
      </c>
      <c r="D247">
        <v>12.99</v>
      </c>
      <c r="E247">
        <v>723.63</v>
      </c>
      <c r="F247" t="s">
        <v>46</v>
      </c>
      <c r="G247" t="s">
        <v>12</v>
      </c>
      <c r="H247" t="s">
        <v>25</v>
      </c>
      <c r="I247" t="s">
        <v>26</v>
      </c>
    </row>
    <row r="248" spans="1:9" x14ac:dyDescent="0.25">
      <c r="A248">
        <v>10706</v>
      </c>
      <c r="B248" s="4" t="s">
        <v>90</v>
      </c>
      <c r="C248" t="s">
        <v>27</v>
      </c>
      <c r="D248">
        <v>9.9499999999999993</v>
      </c>
      <c r="E248">
        <v>301.51</v>
      </c>
      <c r="F248" t="s">
        <v>46</v>
      </c>
      <c r="G248" t="s">
        <v>12</v>
      </c>
      <c r="H248" t="s">
        <v>25</v>
      </c>
      <c r="I248" t="s">
        <v>26</v>
      </c>
    </row>
    <row r="249" spans="1:9" x14ac:dyDescent="0.25">
      <c r="A249">
        <v>10707</v>
      </c>
      <c r="B249" s="4" t="s">
        <v>90</v>
      </c>
      <c r="C249" t="s">
        <v>10</v>
      </c>
      <c r="D249">
        <v>3.49</v>
      </c>
      <c r="E249">
        <v>630.37</v>
      </c>
      <c r="F249" t="s">
        <v>46</v>
      </c>
      <c r="G249" t="s">
        <v>12</v>
      </c>
      <c r="H249" t="s">
        <v>25</v>
      </c>
      <c r="I249" t="s">
        <v>26</v>
      </c>
    </row>
    <row r="250" spans="1:9" x14ac:dyDescent="0.25">
      <c r="A250">
        <v>10708</v>
      </c>
      <c r="B250" s="4" t="s">
        <v>90</v>
      </c>
      <c r="C250" t="s">
        <v>15</v>
      </c>
      <c r="D250">
        <v>2.95</v>
      </c>
      <c r="E250">
        <v>677.97</v>
      </c>
      <c r="F250" t="s">
        <v>46</v>
      </c>
      <c r="G250" t="s">
        <v>12</v>
      </c>
      <c r="H250" t="s">
        <v>25</v>
      </c>
      <c r="I250" t="s">
        <v>26</v>
      </c>
    </row>
    <row r="251" spans="1:9" x14ac:dyDescent="0.25">
      <c r="A251">
        <v>10709</v>
      </c>
      <c r="B251" s="4" t="s">
        <v>90</v>
      </c>
      <c r="C251" t="s">
        <v>18</v>
      </c>
      <c r="D251">
        <v>4.99</v>
      </c>
      <c r="E251">
        <v>200.4</v>
      </c>
      <c r="F251" t="s">
        <v>46</v>
      </c>
      <c r="G251" t="s">
        <v>12</v>
      </c>
      <c r="H251" t="s">
        <v>25</v>
      </c>
      <c r="I251" t="s">
        <v>26</v>
      </c>
    </row>
    <row r="252" spans="1:9" x14ac:dyDescent="0.25">
      <c r="A252">
        <v>10710</v>
      </c>
      <c r="B252" s="4" t="s">
        <v>91</v>
      </c>
      <c r="C252" t="s">
        <v>23</v>
      </c>
      <c r="D252">
        <v>12.99</v>
      </c>
      <c r="E252">
        <v>754.43</v>
      </c>
      <c r="F252" t="s">
        <v>46</v>
      </c>
      <c r="G252" t="s">
        <v>12</v>
      </c>
      <c r="H252" t="s">
        <v>25</v>
      </c>
      <c r="I252" t="s">
        <v>26</v>
      </c>
    </row>
    <row r="253" spans="1:9" x14ac:dyDescent="0.25">
      <c r="A253">
        <v>10711</v>
      </c>
      <c r="B253" s="4" t="s">
        <v>91</v>
      </c>
      <c r="C253" t="s">
        <v>27</v>
      </c>
      <c r="D253">
        <v>9.9499999999999993</v>
      </c>
      <c r="E253">
        <v>281.41000000000003</v>
      </c>
      <c r="F253" t="s">
        <v>46</v>
      </c>
      <c r="G253" t="s">
        <v>12</v>
      </c>
      <c r="H253" t="s">
        <v>25</v>
      </c>
      <c r="I253" t="s">
        <v>26</v>
      </c>
    </row>
    <row r="254" spans="1:9" x14ac:dyDescent="0.25">
      <c r="A254">
        <v>10712</v>
      </c>
      <c r="B254" s="4" t="s">
        <v>91</v>
      </c>
      <c r="C254" t="s">
        <v>10</v>
      </c>
      <c r="D254">
        <v>3.49</v>
      </c>
      <c r="E254">
        <v>630.37</v>
      </c>
      <c r="F254" t="s">
        <v>46</v>
      </c>
      <c r="G254" t="s">
        <v>12</v>
      </c>
      <c r="H254" t="s">
        <v>25</v>
      </c>
      <c r="I254" t="s">
        <v>26</v>
      </c>
    </row>
    <row r="255" spans="1:9" x14ac:dyDescent="0.25">
      <c r="A255">
        <v>10713</v>
      </c>
      <c r="B255" s="4" t="s">
        <v>91</v>
      </c>
      <c r="C255" t="s">
        <v>15</v>
      </c>
      <c r="D255">
        <v>2.95</v>
      </c>
      <c r="E255">
        <v>677.97</v>
      </c>
      <c r="F255" t="s">
        <v>46</v>
      </c>
      <c r="G255" t="s">
        <v>12</v>
      </c>
      <c r="H255" t="s">
        <v>25</v>
      </c>
      <c r="I255" t="s">
        <v>26</v>
      </c>
    </row>
  </sheetData>
  <autoFilter ref="A1:I255" xr:uid="{71C06300-322A-4CF2-8746-E160C854241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044B-4C90-40C7-ADA0-ADE3389ECFBF}">
  <dimension ref="A1:V259"/>
  <sheetViews>
    <sheetView topLeftCell="N1" zoomScale="90" zoomScaleNormal="90" workbookViewId="0">
      <selection activeCell="S19" sqref="S19"/>
    </sheetView>
  </sheetViews>
  <sheetFormatPr defaultRowHeight="15" x14ac:dyDescent="0.25"/>
  <cols>
    <col min="1" max="1" width="8.42578125" customWidth="1"/>
    <col min="2" max="2" width="10.42578125" customWidth="1"/>
    <col min="3" max="3" width="11.85546875" customWidth="1"/>
    <col min="5" max="5" width="8.7109375" bestFit="1" customWidth="1"/>
    <col min="6" max="6" width="8.28515625" customWidth="1"/>
    <col min="7" max="7" width="16.42578125" customWidth="1"/>
    <col min="8" max="8" width="15.42578125" customWidth="1"/>
    <col min="9" max="9" width="7.5703125" bestFit="1" customWidth="1"/>
    <col min="10" max="10" width="8.7109375" customWidth="1"/>
    <col min="11" max="11" width="21.85546875" bestFit="1" customWidth="1"/>
    <col min="12" max="12" width="16" bestFit="1" customWidth="1"/>
    <col min="13" max="13" width="13.42578125" bestFit="1" customWidth="1"/>
    <col min="14" max="14" width="13.85546875" bestFit="1" customWidth="1"/>
    <col min="15" max="15" width="5.5703125" customWidth="1"/>
    <col min="16" max="16" width="19.28515625" customWidth="1"/>
    <col min="17" max="17" width="20.28515625" bestFit="1" customWidth="1"/>
    <col min="18" max="18" width="26.85546875" bestFit="1" customWidth="1"/>
    <col min="19" max="19" width="22.42578125" customWidth="1"/>
  </cols>
  <sheetData>
    <row r="1" spans="1:22" ht="23.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37" t="s">
        <v>98</v>
      </c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2" x14ac:dyDescent="0.25">
      <c r="A2">
        <v>10452</v>
      </c>
      <c r="B2" t="s">
        <v>9</v>
      </c>
      <c r="C2" t="s">
        <v>10</v>
      </c>
      <c r="D2">
        <v>3.49</v>
      </c>
      <c r="E2">
        <v>573.07000000000005</v>
      </c>
      <c r="F2" t="s">
        <v>11</v>
      </c>
      <c r="G2" t="s">
        <v>12</v>
      </c>
      <c r="H2" t="s">
        <v>13</v>
      </c>
      <c r="I2" t="s">
        <v>14</v>
      </c>
    </row>
    <row r="3" spans="1:22" x14ac:dyDescent="0.25">
      <c r="A3">
        <v>10453</v>
      </c>
      <c r="B3" t="s">
        <v>9</v>
      </c>
      <c r="C3" t="s">
        <v>15</v>
      </c>
      <c r="D3">
        <v>2.95</v>
      </c>
      <c r="E3">
        <v>745.76</v>
      </c>
      <c r="F3" t="s">
        <v>11</v>
      </c>
      <c r="G3" t="s">
        <v>12</v>
      </c>
      <c r="H3" t="s">
        <v>16</v>
      </c>
      <c r="I3" t="s">
        <v>17</v>
      </c>
    </row>
    <row r="4" spans="1:22" ht="18.75" x14ac:dyDescent="0.3">
      <c r="A4">
        <v>10454</v>
      </c>
      <c r="B4" t="s">
        <v>9</v>
      </c>
      <c r="C4" t="s">
        <v>18</v>
      </c>
      <c r="D4">
        <v>4.99</v>
      </c>
      <c r="E4">
        <v>200.4</v>
      </c>
      <c r="F4" t="s">
        <v>19</v>
      </c>
      <c r="G4" t="s">
        <v>12</v>
      </c>
      <c r="H4" t="s">
        <v>20</v>
      </c>
      <c r="I4" t="s">
        <v>21</v>
      </c>
      <c r="K4" s="35" t="s">
        <v>97</v>
      </c>
      <c r="L4" s="36"/>
      <c r="M4" s="36"/>
      <c r="N4" s="36"/>
      <c r="P4" s="36" t="s">
        <v>108</v>
      </c>
      <c r="Q4" s="36"/>
      <c r="R4" s="36"/>
      <c r="S4" s="36"/>
    </row>
    <row r="5" spans="1:22" x14ac:dyDescent="0.25">
      <c r="A5">
        <v>10455</v>
      </c>
      <c r="B5" t="s">
        <v>22</v>
      </c>
      <c r="C5" t="s">
        <v>23</v>
      </c>
      <c r="D5">
        <v>12.99</v>
      </c>
      <c r="E5">
        <v>569.66999999999996</v>
      </c>
      <c r="F5" t="s">
        <v>19</v>
      </c>
      <c r="G5" t="s">
        <v>24</v>
      </c>
      <c r="H5" t="s">
        <v>25</v>
      </c>
      <c r="I5" t="s">
        <v>26</v>
      </c>
      <c r="U5">
        <v>45952</v>
      </c>
    </row>
    <row r="6" spans="1:22" ht="16.5" thickBot="1" x14ac:dyDescent="0.3">
      <c r="A6">
        <v>10456</v>
      </c>
      <c r="B6" t="s">
        <v>22</v>
      </c>
      <c r="C6" t="s">
        <v>27</v>
      </c>
      <c r="D6">
        <v>9.9499999999999993</v>
      </c>
      <c r="E6">
        <v>201.01</v>
      </c>
      <c r="F6" t="s">
        <v>19</v>
      </c>
      <c r="G6" t="s">
        <v>24</v>
      </c>
      <c r="H6" t="s">
        <v>25</v>
      </c>
      <c r="I6" t="s">
        <v>26</v>
      </c>
      <c r="K6" s="3" t="s">
        <v>100</v>
      </c>
      <c r="L6" s="3" t="s">
        <v>102</v>
      </c>
      <c r="M6" s="3" t="s">
        <v>103</v>
      </c>
      <c r="N6" s="3" t="s">
        <v>101</v>
      </c>
      <c r="P6" s="3" t="s">
        <v>104</v>
      </c>
      <c r="Q6" s="3" t="s">
        <v>105</v>
      </c>
      <c r="R6" s="3" t="s">
        <v>106</v>
      </c>
      <c r="S6" s="3" t="s">
        <v>107</v>
      </c>
    </row>
    <row r="7" spans="1:22" x14ac:dyDescent="0.25">
      <c r="A7">
        <v>10457</v>
      </c>
      <c r="B7" t="s">
        <v>22</v>
      </c>
      <c r="C7" t="s">
        <v>10</v>
      </c>
      <c r="D7">
        <v>3.49</v>
      </c>
      <c r="E7">
        <v>573.07000000000005</v>
      </c>
      <c r="F7" t="s">
        <v>19</v>
      </c>
      <c r="G7" t="s">
        <v>24</v>
      </c>
      <c r="H7" t="s">
        <v>28</v>
      </c>
      <c r="I7" t="s">
        <v>29</v>
      </c>
      <c r="K7" t="str">
        <f t="shared" ref="K7:K70" si="0">LOWER(H3)</f>
        <v xml:space="preserve">       pablo perez</v>
      </c>
      <c r="L7" t="str">
        <f t="shared" ref="L7:L70" si="1">UPPER(H3)</f>
        <v xml:space="preserve">       PABLO PEREZ</v>
      </c>
      <c r="M7" t="str">
        <f t="shared" ref="M7:M70" si="2">TRIM(H3)</f>
        <v>Pablo Perez</v>
      </c>
      <c r="N7" t="str">
        <f>TRIM(PROPER(H3))</f>
        <v>Pablo Perez</v>
      </c>
      <c r="Q7" s="34" t="s">
        <v>181</v>
      </c>
      <c r="R7" s="34"/>
      <c r="S7" s="34"/>
    </row>
    <row r="8" spans="1:22" x14ac:dyDescent="0.25">
      <c r="A8">
        <v>10459</v>
      </c>
      <c r="B8" t="s">
        <v>22</v>
      </c>
      <c r="C8" t="s">
        <v>18</v>
      </c>
      <c r="D8">
        <v>4.99</v>
      </c>
      <c r="E8">
        <v>200.4</v>
      </c>
      <c r="F8" t="s">
        <v>19</v>
      </c>
      <c r="G8" t="s">
        <v>24</v>
      </c>
      <c r="H8" t="s">
        <v>25</v>
      </c>
      <c r="I8" t="s">
        <v>26</v>
      </c>
      <c r="K8" t="str">
        <f t="shared" si="0"/>
        <v>joao    silva</v>
      </c>
      <c r="L8" t="str">
        <f t="shared" si="1"/>
        <v>JOAO    SILVA</v>
      </c>
      <c r="M8" t="str">
        <f t="shared" si="2"/>
        <v>Joao Silva</v>
      </c>
      <c r="N8" t="str">
        <f t="shared" ref="N7:N70" si="3">TRIM(PROPER(H4))</f>
        <v>Joao Silva</v>
      </c>
      <c r="P8" s="4">
        <f ca="1">TODAY()</f>
        <v>45989</v>
      </c>
      <c r="Q8">
        <f>DAY(U5)</f>
        <v>22</v>
      </c>
      <c r="R8">
        <f>MONTH(U5)</f>
        <v>10</v>
      </c>
      <c r="S8">
        <f>YEAR(U5)</f>
        <v>2025</v>
      </c>
    </row>
    <row r="9" spans="1:22" x14ac:dyDescent="0.25">
      <c r="A9">
        <v>10460</v>
      </c>
      <c r="B9" t="s">
        <v>30</v>
      </c>
      <c r="C9" t="s">
        <v>23</v>
      </c>
      <c r="D9">
        <v>12.99</v>
      </c>
      <c r="E9">
        <v>554.27</v>
      </c>
      <c r="F9" t="s">
        <v>19</v>
      </c>
      <c r="G9" t="s">
        <v>24</v>
      </c>
      <c r="H9" t="s">
        <v>31</v>
      </c>
      <c r="I9" t="s">
        <v>29</v>
      </c>
      <c r="K9" t="str">
        <f t="shared" si="0"/>
        <v>walter muller</v>
      </c>
      <c r="L9" t="str">
        <f t="shared" si="1"/>
        <v>WALTER MULLER</v>
      </c>
      <c r="M9" t="str">
        <f t="shared" si="2"/>
        <v>Walter Muller</v>
      </c>
      <c r="N9" t="str">
        <f t="shared" si="3"/>
        <v>Walter Muller</v>
      </c>
    </row>
    <row r="10" spans="1:22" ht="18.75" x14ac:dyDescent="0.3">
      <c r="A10">
        <v>10461</v>
      </c>
      <c r="B10" t="s">
        <v>30</v>
      </c>
      <c r="C10" t="s">
        <v>27</v>
      </c>
      <c r="D10">
        <v>9.9499999999999993</v>
      </c>
      <c r="E10">
        <v>201.01</v>
      </c>
      <c r="F10" t="s">
        <v>19</v>
      </c>
      <c r="G10" t="s">
        <v>24</v>
      </c>
      <c r="H10" t="s">
        <v>31</v>
      </c>
      <c r="I10" t="s">
        <v>29</v>
      </c>
      <c r="K10" t="str">
        <f t="shared" si="0"/>
        <v>walter muller</v>
      </c>
      <c r="L10" t="str">
        <f t="shared" si="1"/>
        <v>WALTER MULLER</v>
      </c>
      <c r="M10" t="str">
        <f t="shared" si="2"/>
        <v>Walter Muller</v>
      </c>
      <c r="N10" t="str">
        <f t="shared" si="3"/>
        <v>Walter Muller</v>
      </c>
      <c r="P10" s="36" t="s">
        <v>99</v>
      </c>
      <c r="Q10" s="36"/>
      <c r="R10" s="36"/>
      <c r="S10" s="36"/>
    </row>
    <row r="11" spans="1:22" x14ac:dyDescent="0.25">
      <c r="A11">
        <v>10462</v>
      </c>
      <c r="B11" t="s">
        <v>30</v>
      </c>
      <c r="C11" t="s">
        <v>10</v>
      </c>
      <c r="D11">
        <v>3.49</v>
      </c>
      <c r="E11">
        <v>573.07000000000005</v>
      </c>
      <c r="F11" t="s">
        <v>19</v>
      </c>
      <c r="G11" t="s">
        <v>24</v>
      </c>
      <c r="H11" t="s">
        <v>32</v>
      </c>
      <c r="I11" t="s">
        <v>29</v>
      </c>
      <c r="K11" t="str">
        <f t="shared" si="0"/>
        <v>remy    monet</v>
      </c>
      <c r="L11" t="str">
        <f t="shared" si="1"/>
        <v>REMY    MONET</v>
      </c>
      <c r="M11" t="str">
        <f t="shared" si="2"/>
        <v>Remy Monet</v>
      </c>
      <c r="N11" t="str">
        <f t="shared" si="3"/>
        <v>Remy Monet</v>
      </c>
    </row>
    <row r="12" spans="1:22" ht="16.5" thickBot="1" x14ac:dyDescent="0.3">
      <c r="A12">
        <v>10463</v>
      </c>
      <c r="B12" t="s">
        <v>30</v>
      </c>
      <c r="C12" t="s">
        <v>15</v>
      </c>
      <c r="D12">
        <v>2.95</v>
      </c>
      <c r="E12">
        <v>677.97</v>
      </c>
      <c r="F12" t="s">
        <v>19</v>
      </c>
      <c r="G12" t="s">
        <v>24</v>
      </c>
      <c r="H12" t="s">
        <v>32</v>
      </c>
      <c r="I12" t="s">
        <v>29</v>
      </c>
      <c r="K12" t="str">
        <f t="shared" si="0"/>
        <v>walter muller</v>
      </c>
      <c r="L12" t="str">
        <f t="shared" si="1"/>
        <v>WALTER MULLER</v>
      </c>
      <c r="M12" t="str">
        <f t="shared" si="2"/>
        <v>Walter Muller</v>
      </c>
      <c r="N12" t="str">
        <f t="shared" si="3"/>
        <v>Walter Muller</v>
      </c>
      <c r="P12" s="3" t="s">
        <v>92</v>
      </c>
      <c r="Q12" s="3" t="s">
        <v>93</v>
      </c>
      <c r="R12" s="3" t="s">
        <v>94</v>
      </c>
      <c r="S12" s="3" t="s">
        <v>96</v>
      </c>
      <c r="T12" s="3" t="s">
        <v>95</v>
      </c>
      <c r="U12" s="7" t="s">
        <v>147</v>
      </c>
      <c r="V12" s="7" t="s">
        <v>148</v>
      </c>
    </row>
    <row r="13" spans="1:22" x14ac:dyDescent="0.25">
      <c r="A13">
        <v>10464</v>
      </c>
      <c r="B13" t="s">
        <v>30</v>
      </c>
      <c r="C13" t="s">
        <v>18</v>
      </c>
      <c r="D13">
        <v>4.99</v>
      </c>
      <c r="E13">
        <v>200.4</v>
      </c>
      <c r="F13" t="s">
        <v>19</v>
      </c>
      <c r="G13" t="s">
        <v>24</v>
      </c>
      <c r="H13" t="s">
        <v>33</v>
      </c>
      <c r="I13" t="s">
        <v>29</v>
      </c>
      <c r="K13" t="str">
        <f t="shared" si="0"/>
        <v>remy monet</v>
      </c>
      <c r="L13" t="str">
        <f t="shared" si="1"/>
        <v>REMY MONET</v>
      </c>
      <c r="M13" t="str">
        <f t="shared" si="2"/>
        <v>Remy Monet</v>
      </c>
      <c r="N13" t="str">
        <f t="shared" si="3"/>
        <v>Remy Monet</v>
      </c>
      <c r="P13" s="20" t="s">
        <v>118</v>
      </c>
      <c r="Q13" s="20" t="s">
        <v>117</v>
      </c>
      <c r="R13" s="20" t="s">
        <v>116</v>
      </c>
      <c r="S13" s="38" t="s">
        <v>183</v>
      </c>
      <c r="T13" s="38"/>
      <c r="U13" s="38"/>
      <c r="V13" s="38"/>
    </row>
    <row r="14" spans="1:22" x14ac:dyDescent="0.25">
      <c r="A14">
        <v>10465</v>
      </c>
      <c r="B14" t="s">
        <v>34</v>
      </c>
      <c r="C14" t="s">
        <v>23</v>
      </c>
      <c r="D14">
        <v>12.99</v>
      </c>
      <c r="E14">
        <v>554.27</v>
      </c>
      <c r="F14" t="s">
        <v>19</v>
      </c>
      <c r="G14" t="s">
        <v>24</v>
      </c>
      <c r="H14" t="s">
        <v>35</v>
      </c>
      <c r="I14" t="s">
        <v>17</v>
      </c>
      <c r="K14" t="str">
        <f t="shared" si="0"/>
        <v>remy monet</v>
      </c>
      <c r="L14" t="str">
        <f t="shared" si="1"/>
        <v>REMY MONET</v>
      </c>
      <c r="M14" t="str">
        <f t="shared" si="2"/>
        <v>Remy Monet</v>
      </c>
      <c r="N14" t="str">
        <f t="shared" si="3"/>
        <v>Remy Monet</v>
      </c>
      <c r="P14" s="9">
        <f>SUM(D2:D255)</f>
        <v>1803.9900000000043</v>
      </c>
      <c r="Q14" s="9">
        <f>AVERAGE(D2:D255)</f>
        <v>7.1023228346456859</v>
      </c>
      <c r="R14">
        <f>COUNT(D2:D255)</f>
        <v>254</v>
      </c>
      <c r="S14">
        <f>COUNTBLANK(A2:A255)</f>
        <v>0</v>
      </c>
      <c r="T14">
        <f>COUNTA(A2:A255)</f>
        <v>254</v>
      </c>
      <c r="U14">
        <f>MAX(D2:D255)</f>
        <v>29.05</v>
      </c>
      <c r="V14">
        <f>MIN(D2:D255)</f>
        <v>2.95</v>
      </c>
    </row>
    <row r="15" spans="1:22" x14ac:dyDescent="0.25">
      <c r="A15">
        <v>10466</v>
      </c>
      <c r="B15" t="s">
        <v>34</v>
      </c>
      <c r="C15" t="s">
        <v>27</v>
      </c>
      <c r="D15">
        <v>9.9499999999999993</v>
      </c>
      <c r="E15">
        <v>201.01</v>
      </c>
      <c r="F15" t="s">
        <v>19</v>
      </c>
      <c r="G15" t="s">
        <v>24</v>
      </c>
      <c r="H15" t="s">
        <v>35</v>
      </c>
      <c r="I15" t="s">
        <v>17</v>
      </c>
      <c r="K15" t="str">
        <f t="shared" si="0"/>
        <v xml:space="preserve">       remy monet</v>
      </c>
      <c r="L15" t="str">
        <f t="shared" si="1"/>
        <v xml:space="preserve">       REMY MONET</v>
      </c>
      <c r="M15" t="str">
        <f t="shared" si="2"/>
        <v>Remy Monet</v>
      </c>
      <c r="N15" t="str">
        <f t="shared" si="3"/>
        <v>Remy Monet</v>
      </c>
    </row>
    <row r="16" spans="1:22" x14ac:dyDescent="0.25">
      <c r="A16">
        <v>10467</v>
      </c>
      <c r="B16" t="s">
        <v>34</v>
      </c>
      <c r="C16" t="s">
        <v>10</v>
      </c>
      <c r="D16">
        <v>3.49</v>
      </c>
      <c r="E16">
        <v>573.07000000000005</v>
      </c>
      <c r="F16" t="s">
        <v>19</v>
      </c>
      <c r="G16" t="s">
        <v>24</v>
      </c>
      <c r="H16" t="s">
        <v>35</v>
      </c>
      <c r="I16" t="s">
        <v>17</v>
      </c>
      <c r="K16" t="str">
        <f t="shared" si="0"/>
        <v xml:space="preserve">       remy monet</v>
      </c>
      <c r="L16" t="str">
        <f t="shared" si="1"/>
        <v xml:space="preserve">       REMY MONET</v>
      </c>
      <c r="M16" t="str">
        <f t="shared" si="2"/>
        <v>Remy Monet</v>
      </c>
      <c r="N16" t="str">
        <f t="shared" si="3"/>
        <v>Remy Monet</v>
      </c>
    </row>
    <row r="17" spans="1:19" ht="16.5" thickBot="1" x14ac:dyDescent="0.3">
      <c r="A17">
        <v>10468</v>
      </c>
      <c r="B17" t="s">
        <v>34</v>
      </c>
      <c r="C17" t="s">
        <v>15</v>
      </c>
      <c r="D17">
        <v>2.95</v>
      </c>
      <c r="E17">
        <v>677.97</v>
      </c>
      <c r="F17" t="s">
        <v>19</v>
      </c>
      <c r="G17" t="s">
        <v>24</v>
      </c>
      <c r="H17" t="s">
        <v>16</v>
      </c>
      <c r="I17" t="s">
        <v>17</v>
      </c>
      <c r="K17" t="str">
        <f t="shared" si="0"/>
        <v>remy     monet</v>
      </c>
      <c r="L17" t="str">
        <f t="shared" si="1"/>
        <v>REMY     MONET</v>
      </c>
      <c r="M17" t="str">
        <f t="shared" si="2"/>
        <v>Remy Monet</v>
      </c>
      <c r="N17" t="str">
        <f t="shared" si="3"/>
        <v>Remy Monet</v>
      </c>
      <c r="P17" s="8"/>
      <c r="Q17" s="3" t="s">
        <v>150</v>
      </c>
      <c r="R17" s="3" t="s">
        <v>109</v>
      </c>
      <c r="S17" s="3" t="s">
        <v>154</v>
      </c>
    </row>
    <row r="18" spans="1:19" x14ac:dyDescent="0.25">
      <c r="A18">
        <v>10470</v>
      </c>
      <c r="B18" t="s">
        <v>36</v>
      </c>
      <c r="C18" t="s">
        <v>23</v>
      </c>
      <c r="D18">
        <v>12.99</v>
      </c>
      <c r="E18">
        <v>554.27</v>
      </c>
      <c r="F18" t="s">
        <v>19</v>
      </c>
      <c r="G18" t="s">
        <v>24</v>
      </c>
      <c r="H18" t="s">
        <v>16</v>
      </c>
      <c r="I18" t="s">
        <v>17</v>
      </c>
      <c r="K18" t="str">
        <f t="shared" si="0"/>
        <v>pablo perez</v>
      </c>
      <c r="L18" t="str">
        <f t="shared" si="1"/>
        <v>PABLO PEREZ</v>
      </c>
      <c r="M18" t="str">
        <f t="shared" si="2"/>
        <v>Pablo Perez</v>
      </c>
      <c r="N18" t="str">
        <f t="shared" si="3"/>
        <v>Pablo Perez</v>
      </c>
      <c r="Q18" s="21" t="s">
        <v>149</v>
      </c>
      <c r="R18" s="34" t="s">
        <v>182</v>
      </c>
      <c r="S18" s="34"/>
    </row>
    <row r="19" spans="1:19" x14ac:dyDescent="0.25">
      <c r="A19">
        <v>10471</v>
      </c>
      <c r="B19" t="s">
        <v>36</v>
      </c>
      <c r="C19" t="s">
        <v>27</v>
      </c>
      <c r="D19">
        <v>9.9499999999999993</v>
      </c>
      <c r="E19">
        <v>201.01</v>
      </c>
      <c r="F19" t="s">
        <v>19</v>
      </c>
      <c r="G19" t="s">
        <v>24</v>
      </c>
      <c r="H19" t="s">
        <v>16</v>
      </c>
      <c r="I19" t="s">
        <v>17</v>
      </c>
      <c r="K19" t="str">
        <f t="shared" si="0"/>
        <v>pablo perez</v>
      </c>
      <c r="L19" t="str">
        <f t="shared" si="1"/>
        <v>PABLO PEREZ</v>
      </c>
      <c r="M19" t="str">
        <f t="shared" si="2"/>
        <v>Pablo Perez</v>
      </c>
      <c r="N19" t="str">
        <f t="shared" si="3"/>
        <v>Pablo Perez</v>
      </c>
      <c r="Q19" s="9">
        <f>AVERAGEIF(F2:F255, F2, D2:D255)</f>
        <v>6.8057009345794457</v>
      </c>
      <c r="R19" t="str">
        <f>LOWER(_xlfn.CONCAT(P22, ".", Q22, "@gmail.com"))</f>
        <v>tony.flenderson@gmail.com</v>
      </c>
      <c r="S19" t="str">
        <f>_xlfn.TEXTJOIN(" ",TRUE, P22, Q24,Q22)</f>
        <v>Tony Flenderson</v>
      </c>
    </row>
    <row r="20" spans="1:19" x14ac:dyDescent="0.25">
      <c r="A20">
        <v>10472</v>
      </c>
      <c r="B20" t="s">
        <v>36</v>
      </c>
      <c r="C20" t="s">
        <v>10</v>
      </c>
      <c r="D20">
        <v>3.49</v>
      </c>
      <c r="E20">
        <v>630.37</v>
      </c>
      <c r="F20" t="s">
        <v>19</v>
      </c>
      <c r="G20" t="s">
        <v>24</v>
      </c>
      <c r="H20" t="s">
        <v>37</v>
      </c>
      <c r="I20" t="s">
        <v>17</v>
      </c>
      <c r="K20" t="str">
        <f t="shared" si="0"/>
        <v>pablo perez</v>
      </c>
      <c r="L20" t="str">
        <f t="shared" si="1"/>
        <v>PABLO PEREZ</v>
      </c>
      <c r="M20" t="str">
        <f t="shared" si="2"/>
        <v>Pablo Perez</v>
      </c>
      <c r="N20" t="str">
        <f t="shared" si="3"/>
        <v>Pablo Perez</v>
      </c>
    </row>
    <row r="21" spans="1:19" x14ac:dyDescent="0.25">
      <c r="A21">
        <v>10473</v>
      </c>
      <c r="B21" t="s">
        <v>36</v>
      </c>
      <c r="C21" t="s">
        <v>15</v>
      </c>
      <c r="D21">
        <v>2.95</v>
      </c>
      <c r="E21">
        <v>677.97</v>
      </c>
      <c r="F21" t="s">
        <v>19</v>
      </c>
      <c r="G21" t="s">
        <v>24</v>
      </c>
      <c r="H21" t="s">
        <v>16</v>
      </c>
      <c r="I21" t="s">
        <v>17</v>
      </c>
      <c r="K21" t="str">
        <f t="shared" si="0"/>
        <v xml:space="preserve">       pablo perez</v>
      </c>
      <c r="L21" t="str">
        <f t="shared" si="1"/>
        <v xml:space="preserve">       PABLO PEREZ</v>
      </c>
      <c r="M21" t="str">
        <f t="shared" si="2"/>
        <v>Pablo Perez</v>
      </c>
      <c r="N21" t="str">
        <f t="shared" si="3"/>
        <v>Pablo Perez</v>
      </c>
    </row>
    <row r="22" spans="1:19" x14ac:dyDescent="0.25">
      <c r="A22">
        <v>10474</v>
      </c>
      <c r="B22" t="s">
        <v>36</v>
      </c>
      <c r="C22" t="s">
        <v>18</v>
      </c>
      <c r="D22">
        <v>4.99</v>
      </c>
      <c r="E22">
        <v>200.4</v>
      </c>
      <c r="F22" t="s">
        <v>19</v>
      </c>
      <c r="G22" t="s">
        <v>24</v>
      </c>
      <c r="H22" t="s">
        <v>16</v>
      </c>
      <c r="I22" t="s">
        <v>17</v>
      </c>
      <c r="K22" t="str">
        <f t="shared" si="0"/>
        <v xml:space="preserve">       pablo perez</v>
      </c>
      <c r="L22" t="str">
        <f t="shared" si="1"/>
        <v xml:space="preserve">       PABLO PEREZ</v>
      </c>
      <c r="M22" t="str">
        <f t="shared" si="2"/>
        <v>Pablo Perez</v>
      </c>
      <c r="N22" t="str">
        <f t="shared" si="3"/>
        <v>Pablo Perez</v>
      </c>
      <c r="P22" t="s">
        <v>152</v>
      </c>
      <c r="Q22" t="s">
        <v>153</v>
      </c>
    </row>
    <row r="23" spans="1:19" x14ac:dyDescent="0.25">
      <c r="A23">
        <v>10475</v>
      </c>
      <c r="B23" t="s">
        <v>38</v>
      </c>
      <c r="C23" t="s">
        <v>23</v>
      </c>
      <c r="D23">
        <v>12.99</v>
      </c>
      <c r="E23">
        <v>523.48</v>
      </c>
      <c r="F23" t="s">
        <v>19</v>
      </c>
      <c r="G23" t="s">
        <v>24</v>
      </c>
      <c r="H23" t="s">
        <v>16</v>
      </c>
      <c r="I23" t="s">
        <v>17</v>
      </c>
      <c r="K23" t="str">
        <f t="shared" si="0"/>
        <v xml:space="preserve">       pablo perez</v>
      </c>
      <c r="L23" t="str">
        <f t="shared" si="1"/>
        <v xml:space="preserve">       PABLO PEREZ</v>
      </c>
      <c r="M23" t="str">
        <f t="shared" si="2"/>
        <v>Pablo Perez</v>
      </c>
      <c r="N23" t="str">
        <f t="shared" si="3"/>
        <v>Pablo Perez</v>
      </c>
    </row>
    <row r="24" spans="1:19" x14ac:dyDescent="0.25">
      <c r="A24">
        <v>10476</v>
      </c>
      <c r="B24" t="s">
        <v>38</v>
      </c>
      <c r="C24" t="s">
        <v>27</v>
      </c>
      <c r="D24">
        <v>9.9499999999999993</v>
      </c>
      <c r="E24">
        <v>201.01</v>
      </c>
      <c r="F24" t="s">
        <v>19</v>
      </c>
      <c r="G24" t="s">
        <v>24</v>
      </c>
      <c r="H24" t="s">
        <v>35</v>
      </c>
      <c r="I24" t="s">
        <v>17</v>
      </c>
      <c r="K24" t="str">
        <f t="shared" si="0"/>
        <v>pablo   perez</v>
      </c>
      <c r="L24" t="str">
        <f t="shared" si="1"/>
        <v>PABLO   PEREZ</v>
      </c>
      <c r="M24" t="str">
        <f t="shared" si="2"/>
        <v>Pablo Perez</v>
      </c>
      <c r="N24" t="str">
        <f t="shared" si="3"/>
        <v>Pablo Perez</v>
      </c>
    </row>
    <row r="25" spans="1:19" x14ac:dyDescent="0.25">
      <c r="A25">
        <v>10477</v>
      </c>
      <c r="B25" t="s">
        <v>38</v>
      </c>
      <c r="C25" t="s">
        <v>10</v>
      </c>
      <c r="D25">
        <v>3.49</v>
      </c>
      <c r="E25">
        <v>630.37</v>
      </c>
      <c r="F25" t="s">
        <v>19</v>
      </c>
      <c r="G25" t="s">
        <v>24</v>
      </c>
      <c r="H25" t="s">
        <v>39</v>
      </c>
      <c r="I25" t="s">
        <v>17</v>
      </c>
      <c r="K25" t="str">
        <f t="shared" si="0"/>
        <v xml:space="preserve">       pablo perez</v>
      </c>
      <c r="L25" t="str">
        <f t="shared" si="1"/>
        <v xml:space="preserve">       PABLO PEREZ</v>
      </c>
      <c r="M25" t="str">
        <f t="shared" si="2"/>
        <v>Pablo Perez</v>
      </c>
      <c r="N25" t="str">
        <f t="shared" si="3"/>
        <v>Pablo Perez</v>
      </c>
    </row>
    <row r="26" spans="1:19" x14ac:dyDescent="0.25">
      <c r="A26">
        <v>10478</v>
      </c>
      <c r="B26" t="s">
        <v>38</v>
      </c>
      <c r="C26" t="s">
        <v>15</v>
      </c>
      <c r="D26">
        <v>2.95</v>
      </c>
      <c r="E26">
        <v>677.97</v>
      </c>
      <c r="F26" t="s">
        <v>19</v>
      </c>
      <c r="G26" t="s">
        <v>24</v>
      </c>
      <c r="H26" t="s">
        <v>35</v>
      </c>
      <c r="I26" t="s">
        <v>17</v>
      </c>
      <c r="K26" t="str">
        <f t="shared" si="0"/>
        <v xml:space="preserve">       pablo perez</v>
      </c>
      <c r="L26" t="str">
        <f t="shared" si="1"/>
        <v xml:space="preserve">       PABLO PEREZ</v>
      </c>
      <c r="M26" t="str">
        <f t="shared" si="2"/>
        <v>Pablo Perez</v>
      </c>
      <c r="N26" t="str">
        <f t="shared" si="3"/>
        <v>Pablo Perez</v>
      </c>
    </row>
    <row r="27" spans="1:19" x14ac:dyDescent="0.25">
      <c r="A27">
        <v>10479</v>
      </c>
      <c r="B27" t="s">
        <v>38</v>
      </c>
      <c r="C27" t="s">
        <v>18</v>
      </c>
      <c r="D27">
        <v>4.99</v>
      </c>
      <c r="E27">
        <v>200.4</v>
      </c>
      <c r="F27" t="s">
        <v>19</v>
      </c>
      <c r="G27" t="s">
        <v>24</v>
      </c>
      <c r="H27" t="s">
        <v>40</v>
      </c>
      <c r="I27" t="s">
        <v>17</v>
      </c>
      <c r="K27" t="str">
        <f t="shared" si="0"/>
        <v xml:space="preserve">       pablo perez</v>
      </c>
      <c r="L27" t="str">
        <f t="shared" si="1"/>
        <v xml:space="preserve">       PABLO PEREZ</v>
      </c>
      <c r="M27" t="str">
        <f t="shared" si="2"/>
        <v>Pablo Perez</v>
      </c>
      <c r="N27" t="str">
        <f t="shared" si="3"/>
        <v>Pablo Perez</v>
      </c>
    </row>
    <row r="28" spans="1:19" x14ac:dyDescent="0.25">
      <c r="A28">
        <v>10480</v>
      </c>
      <c r="B28" t="s">
        <v>41</v>
      </c>
      <c r="C28" t="s">
        <v>23</v>
      </c>
      <c r="D28">
        <v>12.99</v>
      </c>
      <c r="E28">
        <v>508.08</v>
      </c>
      <c r="F28" t="s">
        <v>19</v>
      </c>
      <c r="G28" t="s">
        <v>24</v>
      </c>
      <c r="H28" t="s">
        <v>35</v>
      </c>
      <c r="I28" t="s">
        <v>17</v>
      </c>
      <c r="K28" t="str">
        <f t="shared" si="0"/>
        <v>pablo perez</v>
      </c>
      <c r="L28" t="str">
        <f t="shared" si="1"/>
        <v>PABLO PEREZ</v>
      </c>
      <c r="M28" t="str">
        <f t="shared" si="2"/>
        <v>Pablo Perez</v>
      </c>
      <c r="N28" t="str">
        <f t="shared" si="3"/>
        <v>Pablo Perez</v>
      </c>
    </row>
    <row r="29" spans="1:19" x14ac:dyDescent="0.25">
      <c r="A29">
        <v>10481</v>
      </c>
      <c r="B29" t="s">
        <v>41</v>
      </c>
      <c r="C29" t="s">
        <v>27</v>
      </c>
      <c r="D29">
        <v>9.9499999999999993</v>
      </c>
      <c r="E29">
        <v>201.01</v>
      </c>
      <c r="F29" t="s">
        <v>19</v>
      </c>
      <c r="G29" t="s">
        <v>24</v>
      </c>
      <c r="H29" t="s">
        <v>35</v>
      </c>
      <c r="I29" t="s">
        <v>17</v>
      </c>
      <c r="K29" t="str">
        <f t="shared" si="0"/>
        <v>pablo  perez</v>
      </c>
      <c r="L29" t="str">
        <f t="shared" si="1"/>
        <v>PABLO  PEREZ</v>
      </c>
      <c r="M29" t="str">
        <f t="shared" si="2"/>
        <v>Pablo Perez</v>
      </c>
      <c r="N29" t="str">
        <f t="shared" si="3"/>
        <v>Pablo Perez</v>
      </c>
    </row>
    <row r="30" spans="1:19" x14ac:dyDescent="0.25">
      <c r="A30">
        <v>10482</v>
      </c>
      <c r="B30" t="s">
        <v>41</v>
      </c>
      <c r="C30" t="s">
        <v>10</v>
      </c>
      <c r="D30">
        <v>25.5</v>
      </c>
      <c r="E30">
        <v>630.37</v>
      </c>
      <c r="F30" t="s">
        <v>19</v>
      </c>
      <c r="G30" t="s">
        <v>24</v>
      </c>
      <c r="H30" t="s">
        <v>42</v>
      </c>
      <c r="I30" t="s">
        <v>21</v>
      </c>
      <c r="K30" t="str">
        <f t="shared" si="0"/>
        <v>pablo perez</v>
      </c>
      <c r="L30" t="str">
        <f t="shared" si="1"/>
        <v>PABLO PEREZ</v>
      </c>
      <c r="M30" t="str">
        <f t="shared" si="2"/>
        <v>Pablo Perez</v>
      </c>
      <c r="N30" t="str">
        <f t="shared" si="3"/>
        <v>Pablo Perez</v>
      </c>
    </row>
    <row r="31" spans="1:19" x14ac:dyDescent="0.25">
      <c r="A31">
        <v>10486</v>
      </c>
      <c r="B31" t="s">
        <v>43</v>
      </c>
      <c r="C31" t="s">
        <v>27</v>
      </c>
      <c r="D31">
        <v>29.05</v>
      </c>
      <c r="E31">
        <v>201.01</v>
      </c>
      <c r="F31" t="s">
        <v>19</v>
      </c>
      <c r="G31" t="s">
        <v>24</v>
      </c>
      <c r="H31" t="s">
        <v>20</v>
      </c>
      <c r="I31" t="s">
        <v>21</v>
      </c>
      <c r="K31" t="str">
        <f t="shared" si="0"/>
        <v>pablo    perez</v>
      </c>
      <c r="L31" t="str">
        <f t="shared" si="1"/>
        <v>PABLO    PEREZ</v>
      </c>
      <c r="M31" t="str">
        <f t="shared" si="2"/>
        <v>Pablo Perez</v>
      </c>
      <c r="N31" t="str">
        <f t="shared" si="3"/>
        <v>Pablo Perez</v>
      </c>
    </row>
    <row r="32" spans="1:19" x14ac:dyDescent="0.25">
      <c r="A32">
        <v>10487</v>
      </c>
      <c r="B32" t="s">
        <v>43</v>
      </c>
      <c r="C32" t="s">
        <v>10</v>
      </c>
      <c r="D32">
        <v>3.49</v>
      </c>
      <c r="E32">
        <v>630.37</v>
      </c>
      <c r="F32" t="s">
        <v>19</v>
      </c>
      <c r="G32" t="s">
        <v>24</v>
      </c>
      <c r="H32" t="s">
        <v>42</v>
      </c>
      <c r="I32" t="s">
        <v>21</v>
      </c>
      <c r="K32" t="str">
        <f t="shared" si="0"/>
        <v>pablo perez</v>
      </c>
      <c r="L32" t="str">
        <f t="shared" si="1"/>
        <v>PABLO PEREZ</v>
      </c>
      <c r="M32" t="str">
        <f t="shared" si="2"/>
        <v>Pablo Perez</v>
      </c>
      <c r="N32" t="str">
        <f t="shared" si="3"/>
        <v>Pablo Perez</v>
      </c>
    </row>
    <row r="33" spans="1:14" x14ac:dyDescent="0.25">
      <c r="A33">
        <v>10488</v>
      </c>
      <c r="B33" t="s">
        <v>43</v>
      </c>
      <c r="C33" t="s">
        <v>15</v>
      </c>
      <c r="D33">
        <v>2.95</v>
      </c>
      <c r="E33">
        <v>677.97</v>
      </c>
      <c r="F33" t="s">
        <v>19</v>
      </c>
      <c r="G33" t="s">
        <v>24</v>
      </c>
      <c r="H33" t="s">
        <v>42</v>
      </c>
      <c r="I33" t="s">
        <v>21</v>
      </c>
      <c r="K33" t="str">
        <f t="shared" si="0"/>
        <v>pablo perez</v>
      </c>
      <c r="L33" t="str">
        <f t="shared" si="1"/>
        <v>PABLO PEREZ</v>
      </c>
      <c r="M33" t="str">
        <f t="shared" si="2"/>
        <v>Pablo Perez</v>
      </c>
      <c r="N33" t="str">
        <f t="shared" si="3"/>
        <v>Pablo Perez</v>
      </c>
    </row>
    <row r="34" spans="1:14" x14ac:dyDescent="0.25">
      <c r="A34">
        <v>10489</v>
      </c>
      <c r="B34" t="s">
        <v>43</v>
      </c>
      <c r="C34" t="s">
        <v>18</v>
      </c>
      <c r="D34">
        <v>4.99</v>
      </c>
      <c r="E34">
        <v>200.4</v>
      </c>
      <c r="F34" t="s">
        <v>19</v>
      </c>
      <c r="G34" t="s">
        <v>24</v>
      </c>
      <c r="H34" t="s">
        <v>35</v>
      </c>
      <c r="I34" t="s">
        <v>17</v>
      </c>
      <c r="K34" t="str">
        <f t="shared" si="0"/>
        <v>joao silva</v>
      </c>
      <c r="L34" t="str">
        <f t="shared" si="1"/>
        <v>JOAO SILVA</v>
      </c>
      <c r="M34" t="str">
        <f t="shared" si="2"/>
        <v>Joao Silva</v>
      </c>
      <c r="N34" t="str">
        <f t="shared" si="3"/>
        <v>Joao Silva</v>
      </c>
    </row>
    <row r="35" spans="1:14" x14ac:dyDescent="0.25">
      <c r="A35">
        <v>10490</v>
      </c>
      <c r="B35" t="s">
        <v>44</v>
      </c>
      <c r="C35" t="s">
        <v>23</v>
      </c>
      <c r="D35">
        <v>12.99</v>
      </c>
      <c r="E35">
        <v>508.08</v>
      </c>
      <c r="F35" t="s">
        <v>19</v>
      </c>
      <c r="G35" t="s">
        <v>24</v>
      </c>
      <c r="H35" t="s">
        <v>35</v>
      </c>
      <c r="I35" t="s">
        <v>17</v>
      </c>
      <c r="K35" t="str">
        <f t="shared" si="0"/>
        <v>joao    silva</v>
      </c>
      <c r="L35" t="str">
        <f t="shared" si="1"/>
        <v>JOAO    SILVA</v>
      </c>
      <c r="M35" t="str">
        <f t="shared" si="2"/>
        <v>Joao Silva</v>
      </c>
      <c r="N35" t="str">
        <f t="shared" si="3"/>
        <v>Joao Silva</v>
      </c>
    </row>
    <row r="36" spans="1:14" x14ac:dyDescent="0.25">
      <c r="A36">
        <v>10491</v>
      </c>
      <c r="B36" t="s">
        <v>44</v>
      </c>
      <c r="C36" t="s">
        <v>27</v>
      </c>
      <c r="D36">
        <v>9.9499999999999993</v>
      </c>
      <c r="E36">
        <v>201.01</v>
      </c>
      <c r="F36" t="s">
        <v>19</v>
      </c>
      <c r="G36" t="s">
        <v>24</v>
      </c>
      <c r="H36" t="s">
        <v>35</v>
      </c>
      <c r="I36" t="s">
        <v>17</v>
      </c>
      <c r="K36" t="str">
        <f t="shared" si="0"/>
        <v>joao silva</v>
      </c>
      <c r="L36" t="str">
        <f t="shared" si="1"/>
        <v>JOAO SILVA</v>
      </c>
      <c r="M36" t="str">
        <f t="shared" si="2"/>
        <v>Joao Silva</v>
      </c>
      <c r="N36" t="str">
        <f t="shared" si="3"/>
        <v>Joao Silva</v>
      </c>
    </row>
    <row r="37" spans="1:14" x14ac:dyDescent="0.25">
      <c r="A37">
        <v>10492</v>
      </c>
      <c r="B37" t="s">
        <v>44</v>
      </c>
      <c r="C37" t="s">
        <v>10</v>
      </c>
      <c r="D37">
        <v>3.49</v>
      </c>
      <c r="E37">
        <v>573.07000000000005</v>
      </c>
      <c r="F37" t="s">
        <v>19</v>
      </c>
      <c r="G37" t="s">
        <v>24</v>
      </c>
      <c r="H37" t="s">
        <v>35</v>
      </c>
      <c r="I37" t="s">
        <v>17</v>
      </c>
      <c r="K37" t="str">
        <f t="shared" si="0"/>
        <v>joao silva</v>
      </c>
      <c r="L37" t="str">
        <f t="shared" si="1"/>
        <v>JOAO SILVA</v>
      </c>
      <c r="M37" t="str">
        <f t="shared" si="2"/>
        <v>Joao Silva</v>
      </c>
      <c r="N37" t="str">
        <f t="shared" si="3"/>
        <v>Joao Silva</v>
      </c>
    </row>
    <row r="38" spans="1:14" x14ac:dyDescent="0.25">
      <c r="A38">
        <v>10493</v>
      </c>
      <c r="B38" t="s">
        <v>44</v>
      </c>
      <c r="C38" t="s">
        <v>15</v>
      </c>
      <c r="D38">
        <v>2.95</v>
      </c>
      <c r="E38">
        <v>677.97</v>
      </c>
      <c r="F38" t="s">
        <v>19</v>
      </c>
      <c r="G38" t="s">
        <v>24</v>
      </c>
      <c r="H38" t="s">
        <v>35</v>
      </c>
      <c r="I38" t="s">
        <v>17</v>
      </c>
      <c r="K38" t="str">
        <f t="shared" si="0"/>
        <v>pablo perez</v>
      </c>
      <c r="L38" t="str">
        <f t="shared" si="1"/>
        <v>PABLO PEREZ</v>
      </c>
      <c r="M38" t="str">
        <f t="shared" si="2"/>
        <v>Pablo Perez</v>
      </c>
      <c r="N38" t="str">
        <f t="shared" si="3"/>
        <v>Pablo Perez</v>
      </c>
    </row>
    <row r="39" spans="1:14" x14ac:dyDescent="0.25">
      <c r="A39">
        <v>10494</v>
      </c>
      <c r="B39" t="s">
        <v>44</v>
      </c>
      <c r="C39" t="s">
        <v>18</v>
      </c>
      <c r="D39">
        <v>4.99</v>
      </c>
      <c r="E39">
        <v>200.4</v>
      </c>
      <c r="F39" t="s">
        <v>19</v>
      </c>
      <c r="G39" t="s">
        <v>24</v>
      </c>
      <c r="H39" t="s">
        <v>35</v>
      </c>
      <c r="I39" t="s">
        <v>17</v>
      </c>
      <c r="K39" t="str">
        <f t="shared" si="0"/>
        <v>pablo perez</v>
      </c>
      <c r="L39" t="str">
        <f t="shared" si="1"/>
        <v>PABLO PEREZ</v>
      </c>
      <c r="M39" t="str">
        <f t="shared" si="2"/>
        <v>Pablo Perez</v>
      </c>
      <c r="N39" t="str">
        <f t="shared" si="3"/>
        <v>Pablo Perez</v>
      </c>
    </row>
    <row r="40" spans="1:14" x14ac:dyDescent="0.25">
      <c r="A40">
        <v>10495</v>
      </c>
      <c r="B40" t="s">
        <v>45</v>
      </c>
      <c r="C40" t="s">
        <v>23</v>
      </c>
      <c r="D40">
        <v>12.99</v>
      </c>
      <c r="E40">
        <v>508.08</v>
      </c>
      <c r="F40" t="s">
        <v>19</v>
      </c>
      <c r="G40" t="s">
        <v>24</v>
      </c>
      <c r="H40" t="s">
        <v>35</v>
      </c>
      <c r="I40" t="s">
        <v>17</v>
      </c>
      <c r="K40" t="str">
        <f t="shared" si="0"/>
        <v>pablo perez</v>
      </c>
      <c r="L40" t="str">
        <f t="shared" si="1"/>
        <v>PABLO PEREZ</v>
      </c>
      <c r="M40" t="str">
        <f t="shared" si="2"/>
        <v>Pablo Perez</v>
      </c>
      <c r="N40" t="str">
        <f t="shared" si="3"/>
        <v>Pablo Perez</v>
      </c>
    </row>
    <row r="41" spans="1:14" x14ac:dyDescent="0.25">
      <c r="A41">
        <v>10496</v>
      </c>
      <c r="B41" t="s">
        <v>45</v>
      </c>
      <c r="C41" t="s">
        <v>27</v>
      </c>
      <c r="D41">
        <v>9.9499999999999993</v>
      </c>
      <c r="E41">
        <v>201.01</v>
      </c>
      <c r="F41" t="s">
        <v>19</v>
      </c>
      <c r="G41" t="s">
        <v>24</v>
      </c>
      <c r="H41" t="s">
        <v>35</v>
      </c>
      <c r="I41" t="s">
        <v>17</v>
      </c>
      <c r="K41" t="str">
        <f t="shared" si="0"/>
        <v>pablo perez</v>
      </c>
      <c r="L41" t="str">
        <f t="shared" si="1"/>
        <v>PABLO PEREZ</v>
      </c>
      <c r="M41" t="str">
        <f t="shared" si="2"/>
        <v>Pablo Perez</v>
      </c>
      <c r="N41" t="str">
        <f t="shared" si="3"/>
        <v>Pablo Perez</v>
      </c>
    </row>
    <row r="42" spans="1:14" x14ac:dyDescent="0.25">
      <c r="A42">
        <v>10497</v>
      </c>
      <c r="B42" t="s">
        <v>45</v>
      </c>
      <c r="C42" t="s">
        <v>10</v>
      </c>
      <c r="D42">
        <v>3.49</v>
      </c>
      <c r="E42">
        <v>573.07000000000005</v>
      </c>
      <c r="F42" t="s">
        <v>19</v>
      </c>
      <c r="G42" t="s">
        <v>24</v>
      </c>
      <c r="H42" t="s">
        <v>35</v>
      </c>
      <c r="I42" t="s">
        <v>17</v>
      </c>
      <c r="K42" t="str">
        <f t="shared" si="0"/>
        <v>pablo perez</v>
      </c>
      <c r="L42" t="str">
        <f t="shared" si="1"/>
        <v>PABLO PEREZ</v>
      </c>
      <c r="M42" t="str">
        <f t="shared" si="2"/>
        <v>Pablo Perez</v>
      </c>
      <c r="N42" t="str">
        <f t="shared" si="3"/>
        <v>Pablo Perez</v>
      </c>
    </row>
    <row r="43" spans="1:14" x14ac:dyDescent="0.25">
      <c r="A43">
        <v>10498</v>
      </c>
      <c r="B43" t="s">
        <v>45</v>
      </c>
      <c r="C43" t="s">
        <v>15</v>
      </c>
      <c r="D43">
        <v>2.95</v>
      </c>
      <c r="E43">
        <v>677.97</v>
      </c>
      <c r="F43" t="s">
        <v>46</v>
      </c>
      <c r="G43" t="s">
        <v>24</v>
      </c>
      <c r="H43" t="s">
        <v>35</v>
      </c>
      <c r="I43" t="s">
        <v>17</v>
      </c>
      <c r="K43" t="str">
        <f t="shared" si="0"/>
        <v>pablo perez</v>
      </c>
      <c r="L43" t="str">
        <f t="shared" si="1"/>
        <v>PABLO PEREZ</v>
      </c>
      <c r="M43" t="str">
        <f t="shared" si="2"/>
        <v>Pablo Perez</v>
      </c>
      <c r="N43" t="str">
        <f t="shared" si="3"/>
        <v>Pablo Perez</v>
      </c>
    </row>
    <row r="44" spans="1:14" x14ac:dyDescent="0.25">
      <c r="A44">
        <v>10499</v>
      </c>
      <c r="B44" t="s">
        <v>45</v>
      </c>
      <c r="C44" t="s">
        <v>18</v>
      </c>
      <c r="D44">
        <v>4.99</v>
      </c>
      <c r="E44">
        <v>200.4</v>
      </c>
      <c r="F44" t="s">
        <v>46</v>
      </c>
      <c r="G44" t="s">
        <v>24</v>
      </c>
      <c r="H44" t="s">
        <v>35</v>
      </c>
      <c r="I44" t="s">
        <v>17</v>
      </c>
      <c r="K44" t="str">
        <f t="shared" si="0"/>
        <v>pablo perez</v>
      </c>
      <c r="L44" t="str">
        <f t="shared" si="1"/>
        <v>PABLO PEREZ</v>
      </c>
      <c r="M44" t="str">
        <f t="shared" si="2"/>
        <v>Pablo Perez</v>
      </c>
      <c r="N44" t="str">
        <f t="shared" si="3"/>
        <v>Pablo Perez</v>
      </c>
    </row>
    <row r="45" spans="1:14" x14ac:dyDescent="0.25">
      <c r="A45">
        <v>10500</v>
      </c>
      <c r="B45" t="s">
        <v>47</v>
      </c>
      <c r="C45" t="s">
        <v>23</v>
      </c>
      <c r="D45">
        <v>12.99</v>
      </c>
      <c r="E45">
        <v>523.48</v>
      </c>
      <c r="F45" t="s">
        <v>46</v>
      </c>
      <c r="G45" t="s">
        <v>24</v>
      </c>
      <c r="H45" t="s">
        <v>35</v>
      </c>
      <c r="I45" t="s">
        <v>17</v>
      </c>
      <c r="K45" t="str">
        <f t="shared" si="0"/>
        <v>pablo perez</v>
      </c>
      <c r="L45" t="str">
        <f t="shared" si="1"/>
        <v>PABLO PEREZ</v>
      </c>
      <c r="M45" t="str">
        <f t="shared" si="2"/>
        <v>Pablo Perez</v>
      </c>
      <c r="N45" t="str">
        <f t="shared" si="3"/>
        <v>Pablo Perez</v>
      </c>
    </row>
    <row r="46" spans="1:14" x14ac:dyDescent="0.25">
      <c r="A46">
        <v>10501</v>
      </c>
      <c r="B46" t="s">
        <v>47</v>
      </c>
      <c r="C46" t="s">
        <v>27</v>
      </c>
      <c r="D46">
        <v>9.9499999999999993</v>
      </c>
      <c r="E46">
        <v>201.01</v>
      </c>
      <c r="F46" t="s">
        <v>46</v>
      </c>
      <c r="G46" t="s">
        <v>24</v>
      </c>
      <c r="H46" t="s">
        <v>35</v>
      </c>
      <c r="I46" t="s">
        <v>17</v>
      </c>
      <c r="K46" t="str">
        <f t="shared" si="0"/>
        <v>pablo perez</v>
      </c>
      <c r="L46" t="str">
        <f t="shared" si="1"/>
        <v>PABLO PEREZ</v>
      </c>
      <c r="M46" t="str">
        <f t="shared" si="2"/>
        <v>Pablo Perez</v>
      </c>
      <c r="N46" t="str">
        <f t="shared" si="3"/>
        <v>Pablo Perez</v>
      </c>
    </row>
    <row r="47" spans="1:14" x14ac:dyDescent="0.25">
      <c r="A47">
        <v>10502</v>
      </c>
      <c r="B47" t="s">
        <v>47</v>
      </c>
      <c r="C47" t="s">
        <v>10</v>
      </c>
      <c r="D47">
        <v>3.49</v>
      </c>
      <c r="E47">
        <v>630.37</v>
      </c>
      <c r="F47" t="s">
        <v>46</v>
      </c>
      <c r="G47" t="s">
        <v>24</v>
      </c>
      <c r="H47" t="s">
        <v>35</v>
      </c>
      <c r="I47" t="s">
        <v>17</v>
      </c>
      <c r="K47" t="str">
        <f t="shared" si="0"/>
        <v>pablo perez</v>
      </c>
      <c r="L47" t="str">
        <f t="shared" si="1"/>
        <v>PABLO PEREZ</v>
      </c>
      <c r="M47" t="str">
        <f t="shared" si="2"/>
        <v>Pablo Perez</v>
      </c>
      <c r="N47" t="str">
        <f t="shared" si="3"/>
        <v>Pablo Perez</v>
      </c>
    </row>
    <row r="48" spans="1:14" x14ac:dyDescent="0.25">
      <c r="A48">
        <v>10503</v>
      </c>
      <c r="B48" t="s">
        <v>47</v>
      </c>
      <c r="C48" t="s">
        <v>15</v>
      </c>
      <c r="D48">
        <v>2.95</v>
      </c>
      <c r="E48">
        <v>677.97</v>
      </c>
      <c r="F48" t="s">
        <v>46</v>
      </c>
      <c r="G48" t="s">
        <v>24</v>
      </c>
      <c r="H48" t="s">
        <v>35</v>
      </c>
      <c r="I48" t="s">
        <v>17</v>
      </c>
      <c r="K48" t="str">
        <f t="shared" si="0"/>
        <v>pablo perez</v>
      </c>
      <c r="L48" t="str">
        <f t="shared" si="1"/>
        <v>PABLO PEREZ</v>
      </c>
      <c r="M48" t="str">
        <f t="shared" si="2"/>
        <v>Pablo Perez</v>
      </c>
      <c r="N48" t="str">
        <f t="shared" si="3"/>
        <v>Pablo Perez</v>
      </c>
    </row>
    <row r="49" spans="1:14" x14ac:dyDescent="0.25">
      <c r="A49">
        <v>10504</v>
      </c>
      <c r="B49" t="s">
        <v>47</v>
      </c>
      <c r="C49" t="s">
        <v>18</v>
      </c>
      <c r="D49">
        <v>4.99</v>
      </c>
      <c r="E49">
        <v>200.4</v>
      </c>
      <c r="F49" t="s">
        <v>46</v>
      </c>
      <c r="G49" t="s">
        <v>24</v>
      </c>
      <c r="H49" t="s">
        <v>35</v>
      </c>
      <c r="I49" t="s">
        <v>17</v>
      </c>
      <c r="K49" t="str">
        <f t="shared" si="0"/>
        <v>pablo perez</v>
      </c>
      <c r="L49" t="str">
        <f t="shared" si="1"/>
        <v>PABLO PEREZ</v>
      </c>
      <c r="M49" t="str">
        <f t="shared" si="2"/>
        <v>Pablo Perez</v>
      </c>
      <c r="N49" t="str">
        <f t="shared" si="3"/>
        <v>Pablo Perez</v>
      </c>
    </row>
    <row r="50" spans="1:14" x14ac:dyDescent="0.25">
      <c r="A50">
        <v>10505</v>
      </c>
      <c r="B50" t="s">
        <v>48</v>
      </c>
      <c r="C50" t="s">
        <v>23</v>
      </c>
      <c r="D50">
        <v>12.99</v>
      </c>
      <c r="E50">
        <v>538.88</v>
      </c>
      <c r="F50" t="s">
        <v>46</v>
      </c>
      <c r="G50" t="s">
        <v>24</v>
      </c>
      <c r="H50" t="s">
        <v>35</v>
      </c>
      <c r="I50" t="s">
        <v>17</v>
      </c>
      <c r="K50" t="str">
        <f t="shared" si="0"/>
        <v>pablo perez</v>
      </c>
      <c r="L50" t="str">
        <f t="shared" si="1"/>
        <v>PABLO PEREZ</v>
      </c>
      <c r="M50" t="str">
        <f t="shared" si="2"/>
        <v>Pablo Perez</v>
      </c>
      <c r="N50" t="str">
        <f t="shared" si="3"/>
        <v>Pablo Perez</v>
      </c>
    </row>
    <row r="51" spans="1:14" x14ac:dyDescent="0.25">
      <c r="A51">
        <v>10506</v>
      </c>
      <c r="B51" t="s">
        <v>48</v>
      </c>
      <c r="C51" t="s">
        <v>27</v>
      </c>
      <c r="D51">
        <v>9.9499999999999993</v>
      </c>
      <c r="E51">
        <v>201.01</v>
      </c>
      <c r="F51" t="s">
        <v>46</v>
      </c>
      <c r="G51" t="s">
        <v>24</v>
      </c>
      <c r="H51" t="s">
        <v>35</v>
      </c>
      <c r="I51" t="s">
        <v>17</v>
      </c>
      <c r="K51" t="str">
        <f t="shared" si="0"/>
        <v>pablo perez</v>
      </c>
      <c r="L51" t="str">
        <f t="shared" si="1"/>
        <v>PABLO PEREZ</v>
      </c>
      <c r="M51" t="str">
        <f t="shared" si="2"/>
        <v>Pablo Perez</v>
      </c>
      <c r="N51" t="str">
        <f t="shared" si="3"/>
        <v>Pablo Perez</v>
      </c>
    </row>
    <row r="52" spans="1:14" x14ac:dyDescent="0.25">
      <c r="A52">
        <v>10507</v>
      </c>
      <c r="B52" t="s">
        <v>48</v>
      </c>
      <c r="C52" t="s">
        <v>10</v>
      </c>
      <c r="D52">
        <v>3.49</v>
      </c>
      <c r="E52">
        <v>687.68</v>
      </c>
      <c r="F52" t="s">
        <v>46</v>
      </c>
      <c r="G52" t="s">
        <v>24</v>
      </c>
      <c r="H52" t="s">
        <v>35</v>
      </c>
      <c r="I52" t="s">
        <v>17</v>
      </c>
      <c r="K52" t="str">
        <f t="shared" si="0"/>
        <v>pablo perez</v>
      </c>
      <c r="L52" t="str">
        <f t="shared" si="1"/>
        <v>PABLO PEREZ</v>
      </c>
      <c r="M52" t="str">
        <f t="shared" si="2"/>
        <v>Pablo Perez</v>
      </c>
      <c r="N52" t="str">
        <f t="shared" si="3"/>
        <v>Pablo Perez</v>
      </c>
    </row>
    <row r="53" spans="1:14" x14ac:dyDescent="0.25">
      <c r="A53">
        <v>10508</v>
      </c>
      <c r="B53" t="s">
        <v>48</v>
      </c>
      <c r="C53" t="s">
        <v>15</v>
      </c>
      <c r="D53">
        <v>2.95</v>
      </c>
      <c r="E53">
        <v>677.97</v>
      </c>
      <c r="F53" t="s">
        <v>46</v>
      </c>
      <c r="G53" t="s">
        <v>24</v>
      </c>
      <c r="H53" t="s">
        <v>35</v>
      </c>
      <c r="I53" t="s">
        <v>17</v>
      </c>
      <c r="K53" t="str">
        <f t="shared" si="0"/>
        <v>pablo perez</v>
      </c>
      <c r="L53" t="str">
        <f t="shared" si="1"/>
        <v>PABLO PEREZ</v>
      </c>
      <c r="M53" t="str">
        <f t="shared" si="2"/>
        <v>Pablo Perez</v>
      </c>
      <c r="N53" t="str">
        <f t="shared" si="3"/>
        <v>Pablo Perez</v>
      </c>
    </row>
    <row r="54" spans="1:14" x14ac:dyDescent="0.25">
      <c r="A54">
        <v>10509</v>
      </c>
      <c r="B54" t="s">
        <v>48</v>
      </c>
      <c r="C54" t="s">
        <v>18</v>
      </c>
      <c r="D54">
        <v>4.99</v>
      </c>
      <c r="E54">
        <v>200.4</v>
      </c>
      <c r="F54" t="s">
        <v>46</v>
      </c>
      <c r="G54" t="s">
        <v>24</v>
      </c>
      <c r="H54" t="s">
        <v>35</v>
      </c>
      <c r="I54" t="s">
        <v>17</v>
      </c>
      <c r="K54" t="str">
        <f t="shared" si="0"/>
        <v>pablo perez</v>
      </c>
      <c r="L54" t="str">
        <f t="shared" si="1"/>
        <v>PABLO PEREZ</v>
      </c>
      <c r="M54" t="str">
        <f t="shared" si="2"/>
        <v>Pablo Perez</v>
      </c>
      <c r="N54" t="str">
        <f t="shared" si="3"/>
        <v>Pablo Perez</v>
      </c>
    </row>
    <row r="55" spans="1:14" x14ac:dyDescent="0.25">
      <c r="A55">
        <v>10510</v>
      </c>
      <c r="B55" t="s">
        <v>49</v>
      </c>
      <c r="C55" t="s">
        <v>23</v>
      </c>
      <c r="D55">
        <v>12.99</v>
      </c>
      <c r="E55">
        <v>508.08</v>
      </c>
      <c r="F55" t="s">
        <v>46</v>
      </c>
      <c r="G55" t="s">
        <v>24</v>
      </c>
      <c r="H55" t="s">
        <v>35</v>
      </c>
      <c r="I55" t="s">
        <v>17</v>
      </c>
      <c r="K55" t="str">
        <f t="shared" si="0"/>
        <v>pablo perez</v>
      </c>
      <c r="L55" t="str">
        <f t="shared" si="1"/>
        <v>PABLO PEREZ</v>
      </c>
      <c r="M55" t="str">
        <f t="shared" si="2"/>
        <v>Pablo Perez</v>
      </c>
      <c r="N55" t="str">
        <f t="shared" si="3"/>
        <v>Pablo Perez</v>
      </c>
    </row>
    <row r="56" spans="1:14" x14ac:dyDescent="0.25">
      <c r="A56">
        <v>10511</v>
      </c>
      <c r="B56" t="s">
        <v>49</v>
      </c>
      <c r="C56" t="s">
        <v>27</v>
      </c>
      <c r="D56">
        <v>9.9499999999999993</v>
      </c>
      <c r="E56">
        <v>201.01</v>
      </c>
      <c r="F56" t="s">
        <v>46</v>
      </c>
      <c r="G56" t="s">
        <v>24</v>
      </c>
      <c r="H56" t="s">
        <v>42</v>
      </c>
      <c r="I56" t="s">
        <v>21</v>
      </c>
      <c r="K56" t="str">
        <f t="shared" si="0"/>
        <v>pablo perez</v>
      </c>
      <c r="L56" t="str">
        <f t="shared" si="1"/>
        <v>PABLO PEREZ</v>
      </c>
      <c r="M56" t="str">
        <f t="shared" si="2"/>
        <v>Pablo Perez</v>
      </c>
      <c r="N56" t="str">
        <f t="shared" si="3"/>
        <v>Pablo Perez</v>
      </c>
    </row>
    <row r="57" spans="1:14" x14ac:dyDescent="0.25">
      <c r="A57">
        <v>10512</v>
      </c>
      <c r="B57" t="s">
        <v>49</v>
      </c>
      <c r="C57" t="s">
        <v>10</v>
      </c>
      <c r="D57">
        <v>3.49</v>
      </c>
      <c r="E57">
        <v>687.68</v>
      </c>
      <c r="F57" t="s">
        <v>46</v>
      </c>
      <c r="G57" t="s">
        <v>24</v>
      </c>
      <c r="H57" t="s">
        <v>42</v>
      </c>
      <c r="I57" t="s">
        <v>21</v>
      </c>
      <c r="K57" t="str">
        <f t="shared" si="0"/>
        <v>pablo perez</v>
      </c>
      <c r="L57" t="str">
        <f t="shared" si="1"/>
        <v>PABLO PEREZ</v>
      </c>
      <c r="M57" t="str">
        <f t="shared" si="2"/>
        <v>Pablo Perez</v>
      </c>
      <c r="N57" t="str">
        <f t="shared" si="3"/>
        <v>Pablo Perez</v>
      </c>
    </row>
    <row r="58" spans="1:14" x14ac:dyDescent="0.25">
      <c r="A58">
        <v>10513</v>
      </c>
      <c r="B58" t="s">
        <v>49</v>
      </c>
      <c r="C58" t="s">
        <v>15</v>
      </c>
      <c r="D58">
        <v>2.95</v>
      </c>
      <c r="E58">
        <v>677.97</v>
      </c>
      <c r="F58" t="s">
        <v>46</v>
      </c>
      <c r="G58" t="s">
        <v>50</v>
      </c>
      <c r="H58" t="s">
        <v>42</v>
      </c>
      <c r="I58" t="s">
        <v>21</v>
      </c>
      <c r="K58" t="str">
        <f t="shared" si="0"/>
        <v>pablo perez</v>
      </c>
      <c r="L58" t="str">
        <f t="shared" si="1"/>
        <v>PABLO PEREZ</v>
      </c>
      <c r="M58" t="str">
        <f t="shared" si="2"/>
        <v>Pablo Perez</v>
      </c>
      <c r="N58" t="str">
        <f t="shared" si="3"/>
        <v>Pablo Perez</v>
      </c>
    </row>
    <row r="59" spans="1:14" x14ac:dyDescent="0.25">
      <c r="A59">
        <v>10514</v>
      </c>
      <c r="B59" t="s">
        <v>49</v>
      </c>
      <c r="C59" t="s">
        <v>18</v>
      </c>
      <c r="D59">
        <v>4.99</v>
      </c>
      <c r="E59">
        <v>200.4</v>
      </c>
      <c r="F59" t="s">
        <v>46</v>
      </c>
      <c r="G59" t="s">
        <v>50</v>
      </c>
      <c r="H59" t="s">
        <v>42</v>
      </c>
      <c r="I59" t="s">
        <v>21</v>
      </c>
      <c r="K59" t="str">
        <f t="shared" si="0"/>
        <v>pablo perez</v>
      </c>
      <c r="L59" t="str">
        <f t="shared" si="1"/>
        <v>PABLO PEREZ</v>
      </c>
      <c r="M59" t="str">
        <f t="shared" si="2"/>
        <v>Pablo Perez</v>
      </c>
      <c r="N59" t="str">
        <f t="shared" si="3"/>
        <v>Pablo Perez</v>
      </c>
    </row>
    <row r="60" spans="1:14" x14ac:dyDescent="0.25">
      <c r="A60">
        <v>10515</v>
      </c>
      <c r="B60" t="s">
        <v>51</v>
      </c>
      <c r="C60" t="s">
        <v>23</v>
      </c>
      <c r="D60">
        <v>12.99</v>
      </c>
      <c r="E60">
        <v>477.29</v>
      </c>
      <c r="F60" t="s">
        <v>46</v>
      </c>
      <c r="G60" t="s">
        <v>50</v>
      </c>
      <c r="H60" t="s">
        <v>42</v>
      </c>
      <c r="I60" t="s">
        <v>21</v>
      </c>
      <c r="K60" t="str">
        <f t="shared" si="0"/>
        <v>joao silva</v>
      </c>
      <c r="L60" t="str">
        <f t="shared" si="1"/>
        <v>JOAO SILVA</v>
      </c>
      <c r="M60" t="str">
        <f t="shared" si="2"/>
        <v>Joao Silva</v>
      </c>
      <c r="N60" t="str">
        <f t="shared" si="3"/>
        <v>Joao Silva</v>
      </c>
    </row>
    <row r="61" spans="1:14" x14ac:dyDescent="0.25">
      <c r="A61">
        <v>10516</v>
      </c>
      <c r="B61" t="s">
        <v>51</v>
      </c>
      <c r="C61" t="s">
        <v>27</v>
      </c>
      <c r="D61">
        <v>9.9499999999999993</v>
      </c>
      <c r="E61">
        <v>201.01</v>
      </c>
      <c r="F61" t="s">
        <v>46</v>
      </c>
      <c r="G61" t="s">
        <v>50</v>
      </c>
      <c r="H61" t="s">
        <v>42</v>
      </c>
      <c r="I61" t="s">
        <v>21</v>
      </c>
      <c r="K61" t="str">
        <f t="shared" si="0"/>
        <v>joao silva</v>
      </c>
      <c r="L61" t="str">
        <f t="shared" si="1"/>
        <v>JOAO SILVA</v>
      </c>
      <c r="M61" t="str">
        <f t="shared" si="2"/>
        <v>Joao Silva</v>
      </c>
      <c r="N61" t="str">
        <f t="shared" si="3"/>
        <v>Joao Silva</v>
      </c>
    </row>
    <row r="62" spans="1:14" x14ac:dyDescent="0.25">
      <c r="A62">
        <v>10483</v>
      </c>
      <c r="B62" t="s">
        <v>41</v>
      </c>
      <c r="C62" t="s">
        <v>15</v>
      </c>
      <c r="D62">
        <v>2.95</v>
      </c>
      <c r="E62">
        <v>677.97</v>
      </c>
      <c r="F62" t="s">
        <v>19</v>
      </c>
      <c r="G62" t="s">
        <v>24</v>
      </c>
      <c r="H62" t="s">
        <v>20</v>
      </c>
      <c r="I62" t="s">
        <v>21</v>
      </c>
      <c r="K62" t="str">
        <f t="shared" si="0"/>
        <v>joao silva</v>
      </c>
      <c r="L62" t="str">
        <f t="shared" si="1"/>
        <v>JOAO SILVA</v>
      </c>
      <c r="M62" t="str">
        <f t="shared" si="2"/>
        <v>Joao Silva</v>
      </c>
      <c r="N62" t="str">
        <f t="shared" si="3"/>
        <v>Joao Silva</v>
      </c>
    </row>
    <row r="63" spans="1:14" x14ac:dyDescent="0.25">
      <c r="A63">
        <v>10484</v>
      </c>
      <c r="B63" t="s">
        <v>41</v>
      </c>
      <c r="C63" t="s">
        <v>18</v>
      </c>
      <c r="D63">
        <v>4.99</v>
      </c>
      <c r="E63">
        <v>200.4</v>
      </c>
      <c r="F63" t="s">
        <v>19</v>
      </c>
      <c r="G63" t="s">
        <v>24</v>
      </c>
      <c r="H63" t="s">
        <v>20</v>
      </c>
      <c r="I63" t="s">
        <v>21</v>
      </c>
      <c r="K63" t="str">
        <f t="shared" si="0"/>
        <v>joao silva</v>
      </c>
      <c r="L63" t="str">
        <f t="shared" si="1"/>
        <v>JOAO SILVA</v>
      </c>
      <c r="M63" t="str">
        <f t="shared" si="2"/>
        <v>Joao Silva</v>
      </c>
      <c r="N63" t="str">
        <f t="shared" si="3"/>
        <v>Joao Silva</v>
      </c>
    </row>
    <row r="64" spans="1:14" x14ac:dyDescent="0.25">
      <c r="A64">
        <v>10485</v>
      </c>
      <c r="B64" t="s">
        <v>43</v>
      </c>
      <c r="C64" t="s">
        <v>23</v>
      </c>
      <c r="D64">
        <v>12.99</v>
      </c>
      <c r="E64">
        <v>523.48</v>
      </c>
      <c r="F64" t="s">
        <v>19</v>
      </c>
      <c r="G64" t="s">
        <v>24</v>
      </c>
      <c r="H64" t="s">
        <v>20</v>
      </c>
      <c r="I64" t="s">
        <v>21</v>
      </c>
      <c r="K64" t="str">
        <f t="shared" si="0"/>
        <v>joao silva</v>
      </c>
      <c r="L64" t="str">
        <f t="shared" si="1"/>
        <v>JOAO SILVA</v>
      </c>
      <c r="M64" t="str">
        <f t="shared" si="2"/>
        <v>Joao Silva</v>
      </c>
      <c r="N64" t="str">
        <f t="shared" si="3"/>
        <v>Joao Silva</v>
      </c>
    </row>
    <row r="65" spans="1:14" x14ac:dyDescent="0.25">
      <c r="A65">
        <v>10520</v>
      </c>
      <c r="B65" t="s">
        <v>52</v>
      </c>
      <c r="C65" t="s">
        <v>23</v>
      </c>
      <c r="D65">
        <v>12.99</v>
      </c>
      <c r="E65">
        <v>492.69</v>
      </c>
      <c r="F65" t="s">
        <v>46</v>
      </c>
      <c r="G65" t="s">
        <v>50</v>
      </c>
      <c r="H65" t="s">
        <v>31</v>
      </c>
      <c r="I65" t="s">
        <v>29</v>
      </c>
      <c r="K65" t="str">
        <f t="shared" si="0"/>
        <v>joao silva</v>
      </c>
      <c r="L65" t="str">
        <f t="shared" si="1"/>
        <v>JOAO SILVA</v>
      </c>
      <c r="M65" t="str">
        <f t="shared" si="2"/>
        <v>Joao Silva</v>
      </c>
      <c r="N65" t="str">
        <f t="shared" si="3"/>
        <v>Joao Silva</v>
      </c>
    </row>
    <row r="66" spans="1:14" x14ac:dyDescent="0.25">
      <c r="A66">
        <v>10521</v>
      </c>
      <c r="B66" t="s">
        <v>52</v>
      </c>
      <c r="C66" t="s">
        <v>27</v>
      </c>
      <c r="D66">
        <v>9.9499999999999993</v>
      </c>
      <c r="E66">
        <v>201.01</v>
      </c>
      <c r="F66" t="s">
        <v>46</v>
      </c>
      <c r="G66" t="s">
        <v>50</v>
      </c>
      <c r="H66" t="s">
        <v>31</v>
      </c>
      <c r="I66" t="s">
        <v>29</v>
      </c>
      <c r="K66" t="str">
        <f t="shared" si="0"/>
        <v>joao    silva</v>
      </c>
      <c r="L66" t="str">
        <f t="shared" si="1"/>
        <v>JOAO    SILVA</v>
      </c>
      <c r="M66" t="str">
        <f t="shared" si="2"/>
        <v>Joao Silva</v>
      </c>
      <c r="N66" t="str">
        <f t="shared" si="3"/>
        <v>Joao Silva</v>
      </c>
    </row>
    <row r="67" spans="1:14" x14ac:dyDescent="0.25">
      <c r="A67">
        <v>10522</v>
      </c>
      <c r="B67" t="s">
        <v>52</v>
      </c>
      <c r="C67" t="s">
        <v>10</v>
      </c>
      <c r="D67">
        <v>3.49</v>
      </c>
      <c r="E67">
        <v>687.68</v>
      </c>
      <c r="F67" t="s">
        <v>46</v>
      </c>
      <c r="G67" t="s">
        <v>50</v>
      </c>
      <c r="H67" t="s">
        <v>31</v>
      </c>
      <c r="I67" t="s">
        <v>29</v>
      </c>
      <c r="K67" t="str">
        <f t="shared" si="0"/>
        <v>joao    silva</v>
      </c>
      <c r="L67" t="str">
        <f t="shared" si="1"/>
        <v>JOAO    SILVA</v>
      </c>
      <c r="M67" t="str">
        <f t="shared" si="2"/>
        <v>Joao Silva</v>
      </c>
      <c r="N67" t="str">
        <f t="shared" si="3"/>
        <v>Joao Silva</v>
      </c>
    </row>
    <row r="68" spans="1:14" x14ac:dyDescent="0.25">
      <c r="A68">
        <v>10523</v>
      </c>
      <c r="B68" t="s">
        <v>52</v>
      </c>
      <c r="C68" t="s">
        <v>15</v>
      </c>
      <c r="D68">
        <v>2.95</v>
      </c>
      <c r="E68">
        <v>745.76</v>
      </c>
      <c r="F68" t="s">
        <v>46</v>
      </c>
      <c r="G68" t="s">
        <v>50</v>
      </c>
      <c r="H68" t="s">
        <v>31</v>
      </c>
      <c r="I68" t="s">
        <v>29</v>
      </c>
      <c r="K68" t="str">
        <f t="shared" si="0"/>
        <v>joao    silva</v>
      </c>
      <c r="L68" t="str">
        <f t="shared" si="1"/>
        <v>JOAO    SILVA</v>
      </c>
      <c r="M68" t="str">
        <f t="shared" si="2"/>
        <v>Joao Silva</v>
      </c>
      <c r="N68" t="str">
        <f t="shared" si="3"/>
        <v>Joao Silva</v>
      </c>
    </row>
    <row r="69" spans="1:14" x14ac:dyDescent="0.25">
      <c r="A69">
        <v>10524</v>
      </c>
      <c r="B69" t="s">
        <v>52</v>
      </c>
      <c r="C69" t="s">
        <v>18</v>
      </c>
      <c r="D69">
        <v>4.99</v>
      </c>
      <c r="E69">
        <v>200.4</v>
      </c>
      <c r="F69" t="s">
        <v>46</v>
      </c>
      <c r="G69" t="s">
        <v>50</v>
      </c>
      <c r="H69" t="s">
        <v>31</v>
      </c>
      <c r="I69" t="s">
        <v>29</v>
      </c>
      <c r="K69" t="str">
        <f t="shared" si="0"/>
        <v>remy monet</v>
      </c>
      <c r="L69" t="str">
        <f t="shared" si="1"/>
        <v>REMY MONET</v>
      </c>
      <c r="M69" t="str">
        <f t="shared" si="2"/>
        <v>Remy Monet</v>
      </c>
      <c r="N69" t="str">
        <f t="shared" si="3"/>
        <v>Remy Monet</v>
      </c>
    </row>
    <row r="70" spans="1:14" x14ac:dyDescent="0.25">
      <c r="A70">
        <v>10525</v>
      </c>
      <c r="B70" t="s">
        <v>53</v>
      </c>
      <c r="C70" t="s">
        <v>23</v>
      </c>
      <c r="D70">
        <v>12.99</v>
      </c>
      <c r="E70">
        <v>461.89</v>
      </c>
      <c r="F70" t="s">
        <v>46</v>
      </c>
      <c r="G70" t="s">
        <v>50</v>
      </c>
      <c r="H70" t="s">
        <v>31</v>
      </c>
      <c r="I70" t="s">
        <v>29</v>
      </c>
      <c r="K70" t="str">
        <f t="shared" si="0"/>
        <v>remy monet</v>
      </c>
      <c r="L70" t="str">
        <f t="shared" si="1"/>
        <v>REMY MONET</v>
      </c>
      <c r="M70" t="str">
        <f t="shared" si="2"/>
        <v>Remy Monet</v>
      </c>
      <c r="N70" t="str">
        <f t="shared" si="3"/>
        <v>Remy Monet</v>
      </c>
    </row>
    <row r="71" spans="1:14" x14ac:dyDescent="0.25">
      <c r="A71">
        <v>10526</v>
      </c>
      <c r="B71" t="s">
        <v>53</v>
      </c>
      <c r="C71" t="s">
        <v>27</v>
      </c>
      <c r="D71">
        <v>9.9499999999999993</v>
      </c>
      <c r="E71">
        <v>201.01</v>
      </c>
      <c r="F71" t="s">
        <v>46</v>
      </c>
      <c r="G71" t="s">
        <v>50</v>
      </c>
      <c r="H71" t="s">
        <v>31</v>
      </c>
      <c r="I71" t="s">
        <v>29</v>
      </c>
      <c r="K71" t="str">
        <f t="shared" ref="K71:K134" si="4">LOWER(H67)</f>
        <v>remy monet</v>
      </c>
      <c r="L71" t="str">
        <f t="shared" ref="L71:L134" si="5">UPPER(H67)</f>
        <v>REMY MONET</v>
      </c>
      <c r="M71" t="str">
        <f t="shared" ref="M71:M134" si="6">TRIM(H67)</f>
        <v>Remy Monet</v>
      </c>
      <c r="N71" t="str">
        <f t="shared" ref="N71:N134" si="7">TRIM(PROPER(H67))</f>
        <v>Remy Monet</v>
      </c>
    </row>
    <row r="72" spans="1:14" x14ac:dyDescent="0.25">
      <c r="A72">
        <v>10527</v>
      </c>
      <c r="B72" t="s">
        <v>53</v>
      </c>
      <c r="C72" t="s">
        <v>10</v>
      </c>
      <c r="D72">
        <v>3.49</v>
      </c>
      <c r="E72">
        <v>687.68</v>
      </c>
      <c r="F72" t="s">
        <v>46</v>
      </c>
      <c r="G72" t="s">
        <v>50</v>
      </c>
      <c r="H72" t="s">
        <v>31</v>
      </c>
      <c r="I72" t="s">
        <v>29</v>
      </c>
      <c r="K72" t="str">
        <f t="shared" si="4"/>
        <v>remy monet</v>
      </c>
      <c r="L72" t="str">
        <f t="shared" si="5"/>
        <v>REMY MONET</v>
      </c>
      <c r="M72" t="str">
        <f t="shared" si="6"/>
        <v>Remy Monet</v>
      </c>
      <c r="N72" t="str">
        <f t="shared" si="7"/>
        <v>Remy Monet</v>
      </c>
    </row>
    <row r="73" spans="1:14" x14ac:dyDescent="0.25">
      <c r="A73">
        <v>10528</v>
      </c>
      <c r="B73" t="s">
        <v>53</v>
      </c>
      <c r="C73" t="s">
        <v>15</v>
      </c>
      <c r="D73">
        <v>2.95</v>
      </c>
      <c r="E73">
        <v>745.76</v>
      </c>
      <c r="F73" t="s">
        <v>46</v>
      </c>
      <c r="G73" t="s">
        <v>50</v>
      </c>
      <c r="H73" t="s">
        <v>31</v>
      </c>
      <c r="I73" t="s">
        <v>29</v>
      </c>
      <c r="K73" t="str">
        <f t="shared" si="4"/>
        <v>remy monet</v>
      </c>
      <c r="L73" t="str">
        <f t="shared" si="5"/>
        <v>REMY MONET</v>
      </c>
      <c r="M73" t="str">
        <f t="shared" si="6"/>
        <v>Remy Monet</v>
      </c>
      <c r="N73" t="str">
        <f t="shared" si="7"/>
        <v>Remy Monet</v>
      </c>
    </row>
    <row r="74" spans="1:14" x14ac:dyDescent="0.25">
      <c r="A74">
        <v>10529</v>
      </c>
      <c r="B74" t="s">
        <v>53</v>
      </c>
      <c r="C74" t="s">
        <v>18</v>
      </c>
      <c r="D74">
        <v>4.99</v>
      </c>
      <c r="E74">
        <v>200.4</v>
      </c>
      <c r="F74" t="s">
        <v>46</v>
      </c>
      <c r="G74" t="s">
        <v>50</v>
      </c>
      <c r="H74" t="s">
        <v>31</v>
      </c>
      <c r="I74" t="s">
        <v>29</v>
      </c>
      <c r="K74" t="str">
        <f t="shared" si="4"/>
        <v>remy monet</v>
      </c>
      <c r="L74" t="str">
        <f t="shared" si="5"/>
        <v>REMY MONET</v>
      </c>
      <c r="M74" t="str">
        <f t="shared" si="6"/>
        <v>Remy Monet</v>
      </c>
      <c r="N74" t="str">
        <f t="shared" si="7"/>
        <v>Remy Monet</v>
      </c>
    </row>
    <row r="75" spans="1:14" x14ac:dyDescent="0.25">
      <c r="A75">
        <v>10530</v>
      </c>
      <c r="B75" t="s">
        <v>54</v>
      </c>
      <c r="C75" t="s">
        <v>23</v>
      </c>
      <c r="D75">
        <v>12.99</v>
      </c>
      <c r="E75">
        <v>477.29</v>
      </c>
      <c r="F75" t="s">
        <v>46</v>
      </c>
      <c r="G75" t="s">
        <v>50</v>
      </c>
      <c r="H75" t="s">
        <v>31</v>
      </c>
      <c r="I75" t="s">
        <v>29</v>
      </c>
      <c r="K75" t="str">
        <f t="shared" si="4"/>
        <v>remy monet</v>
      </c>
      <c r="L75" t="str">
        <f t="shared" si="5"/>
        <v>REMY MONET</v>
      </c>
      <c r="M75" t="str">
        <f t="shared" si="6"/>
        <v>Remy Monet</v>
      </c>
      <c r="N75" t="str">
        <f t="shared" si="7"/>
        <v>Remy Monet</v>
      </c>
    </row>
    <row r="76" spans="1:14" x14ac:dyDescent="0.25">
      <c r="A76">
        <v>10531</v>
      </c>
      <c r="B76" t="s">
        <v>54</v>
      </c>
      <c r="C76" t="s">
        <v>27</v>
      </c>
      <c r="D76">
        <v>9.9499999999999993</v>
      </c>
      <c r="E76">
        <v>201.01</v>
      </c>
      <c r="F76" t="s">
        <v>46</v>
      </c>
      <c r="G76" t="s">
        <v>50</v>
      </c>
      <c r="H76" t="s">
        <v>31</v>
      </c>
      <c r="I76" t="s">
        <v>29</v>
      </c>
      <c r="K76" t="str">
        <f t="shared" si="4"/>
        <v>remy monet</v>
      </c>
      <c r="L76" t="str">
        <f t="shared" si="5"/>
        <v>REMY MONET</v>
      </c>
      <c r="M76" t="str">
        <f t="shared" si="6"/>
        <v>Remy Monet</v>
      </c>
      <c r="N76" t="str">
        <f t="shared" si="7"/>
        <v>Remy Monet</v>
      </c>
    </row>
    <row r="77" spans="1:14" x14ac:dyDescent="0.25">
      <c r="A77">
        <v>10532</v>
      </c>
      <c r="B77" t="s">
        <v>54</v>
      </c>
      <c r="C77" t="s">
        <v>10</v>
      </c>
      <c r="D77">
        <v>3.49</v>
      </c>
      <c r="E77">
        <v>687.68</v>
      </c>
      <c r="F77" t="s">
        <v>46</v>
      </c>
      <c r="G77" t="s">
        <v>50</v>
      </c>
      <c r="H77" t="s">
        <v>42</v>
      </c>
      <c r="I77" t="s">
        <v>21</v>
      </c>
      <c r="K77" t="str">
        <f t="shared" si="4"/>
        <v>remy monet</v>
      </c>
      <c r="L77" t="str">
        <f t="shared" si="5"/>
        <v>REMY MONET</v>
      </c>
      <c r="M77" t="str">
        <f t="shared" si="6"/>
        <v>Remy Monet</v>
      </c>
      <c r="N77" t="str">
        <f t="shared" si="7"/>
        <v>Remy Monet</v>
      </c>
    </row>
    <row r="78" spans="1:14" x14ac:dyDescent="0.25">
      <c r="A78">
        <v>10533</v>
      </c>
      <c r="B78" t="s">
        <v>54</v>
      </c>
      <c r="C78" t="s">
        <v>15</v>
      </c>
      <c r="D78">
        <v>2.95</v>
      </c>
      <c r="E78">
        <v>745.76</v>
      </c>
      <c r="F78" t="s">
        <v>46</v>
      </c>
      <c r="G78" t="s">
        <v>50</v>
      </c>
      <c r="H78" t="s">
        <v>42</v>
      </c>
      <c r="I78" t="s">
        <v>21</v>
      </c>
      <c r="K78" t="str">
        <f t="shared" si="4"/>
        <v>remy monet</v>
      </c>
      <c r="L78" t="str">
        <f t="shared" si="5"/>
        <v>REMY MONET</v>
      </c>
      <c r="M78" t="str">
        <f t="shared" si="6"/>
        <v>Remy Monet</v>
      </c>
      <c r="N78" t="str">
        <f t="shared" si="7"/>
        <v>Remy Monet</v>
      </c>
    </row>
    <row r="79" spans="1:14" x14ac:dyDescent="0.25">
      <c r="A79">
        <v>10534</v>
      </c>
      <c r="B79" t="s">
        <v>54</v>
      </c>
      <c r="C79" t="s">
        <v>18</v>
      </c>
      <c r="D79">
        <v>4.99</v>
      </c>
      <c r="E79">
        <v>200.4</v>
      </c>
      <c r="F79" t="s">
        <v>46</v>
      </c>
      <c r="G79" t="s">
        <v>50</v>
      </c>
      <c r="H79" t="s">
        <v>35</v>
      </c>
      <c r="I79" t="s">
        <v>17</v>
      </c>
      <c r="K79" t="str">
        <f t="shared" si="4"/>
        <v>remy monet</v>
      </c>
      <c r="L79" t="str">
        <f t="shared" si="5"/>
        <v>REMY MONET</v>
      </c>
      <c r="M79" t="str">
        <f t="shared" si="6"/>
        <v>Remy Monet</v>
      </c>
      <c r="N79" t="str">
        <f t="shared" si="7"/>
        <v>Remy Monet</v>
      </c>
    </row>
    <row r="80" spans="1:14" x14ac:dyDescent="0.25">
      <c r="A80">
        <v>10535</v>
      </c>
      <c r="B80" t="s">
        <v>55</v>
      </c>
      <c r="C80" t="s">
        <v>23</v>
      </c>
      <c r="D80">
        <v>12.99</v>
      </c>
      <c r="E80">
        <v>477.29</v>
      </c>
      <c r="F80" t="s">
        <v>46</v>
      </c>
      <c r="G80" t="s">
        <v>24</v>
      </c>
      <c r="H80" t="s">
        <v>35</v>
      </c>
      <c r="I80" t="s">
        <v>17</v>
      </c>
      <c r="K80" t="str">
        <f t="shared" si="4"/>
        <v>remy monet</v>
      </c>
      <c r="L80" t="str">
        <f t="shared" si="5"/>
        <v>REMY MONET</v>
      </c>
      <c r="M80" t="str">
        <f t="shared" si="6"/>
        <v>Remy Monet</v>
      </c>
      <c r="N80" t="str">
        <f t="shared" si="7"/>
        <v>Remy Monet</v>
      </c>
    </row>
    <row r="81" spans="1:14" x14ac:dyDescent="0.25">
      <c r="A81">
        <v>10536</v>
      </c>
      <c r="B81" t="s">
        <v>55</v>
      </c>
      <c r="C81" t="s">
        <v>27</v>
      </c>
      <c r="D81">
        <v>9.9499999999999993</v>
      </c>
      <c r="E81">
        <v>201.01</v>
      </c>
      <c r="F81" t="s">
        <v>46</v>
      </c>
      <c r="G81" t="s">
        <v>24</v>
      </c>
      <c r="H81" t="s">
        <v>35</v>
      </c>
      <c r="I81" t="s">
        <v>17</v>
      </c>
      <c r="K81" t="str">
        <f t="shared" si="4"/>
        <v>joao silva</v>
      </c>
      <c r="L81" t="str">
        <f t="shared" si="5"/>
        <v>JOAO SILVA</v>
      </c>
      <c r="M81" t="str">
        <f t="shared" si="6"/>
        <v>Joao Silva</v>
      </c>
      <c r="N81" t="str">
        <f t="shared" si="7"/>
        <v>Joao Silva</v>
      </c>
    </row>
    <row r="82" spans="1:14" x14ac:dyDescent="0.25">
      <c r="A82">
        <v>10540</v>
      </c>
      <c r="B82" t="s">
        <v>56</v>
      </c>
      <c r="C82" t="s">
        <v>23</v>
      </c>
      <c r="D82">
        <v>12.99</v>
      </c>
      <c r="E82">
        <v>461.89</v>
      </c>
      <c r="F82" t="s">
        <v>46</v>
      </c>
      <c r="G82" t="s">
        <v>24</v>
      </c>
      <c r="H82" t="s">
        <v>35</v>
      </c>
      <c r="I82" t="s">
        <v>17</v>
      </c>
      <c r="K82" t="str">
        <f t="shared" si="4"/>
        <v>joao silva</v>
      </c>
      <c r="L82" t="str">
        <f t="shared" si="5"/>
        <v>JOAO SILVA</v>
      </c>
      <c r="M82" t="str">
        <f t="shared" si="6"/>
        <v>Joao Silva</v>
      </c>
      <c r="N82" t="str">
        <f t="shared" si="7"/>
        <v>Joao Silva</v>
      </c>
    </row>
    <row r="83" spans="1:14" x14ac:dyDescent="0.25">
      <c r="A83">
        <v>10541</v>
      </c>
      <c r="B83" t="s">
        <v>56</v>
      </c>
      <c r="C83" t="s">
        <v>27</v>
      </c>
      <c r="D83">
        <v>9.9499999999999993</v>
      </c>
      <c r="E83">
        <v>201.01</v>
      </c>
      <c r="F83" t="s">
        <v>46</v>
      </c>
      <c r="G83" t="s">
        <v>24</v>
      </c>
      <c r="H83" t="s">
        <v>57</v>
      </c>
      <c r="I83" t="s">
        <v>14</v>
      </c>
      <c r="K83" t="str">
        <f t="shared" si="4"/>
        <v>pablo perez</v>
      </c>
      <c r="L83" t="str">
        <f t="shared" si="5"/>
        <v>PABLO PEREZ</v>
      </c>
      <c r="M83" t="str">
        <f t="shared" si="6"/>
        <v>Pablo Perez</v>
      </c>
      <c r="N83" t="str">
        <f t="shared" si="7"/>
        <v>Pablo Perez</v>
      </c>
    </row>
    <row r="84" spans="1:14" x14ac:dyDescent="0.25">
      <c r="A84">
        <v>10542</v>
      </c>
      <c r="B84" t="s">
        <v>56</v>
      </c>
      <c r="C84" t="s">
        <v>10</v>
      </c>
      <c r="D84">
        <v>3.49</v>
      </c>
      <c r="E84">
        <v>630.37</v>
      </c>
      <c r="F84" t="s">
        <v>46</v>
      </c>
      <c r="G84" t="s">
        <v>24</v>
      </c>
      <c r="H84" t="s">
        <v>57</v>
      </c>
      <c r="I84" t="s">
        <v>14</v>
      </c>
      <c r="K84" t="str">
        <f t="shared" si="4"/>
        <v>pablo perez</v>
      </c>
      <c r="L84" t="str">
        <f t="shared" si="5"/>
        <v>PABLO PEREZ</v>
      </c>
      <c r="M84" t="str">
        <f t="shared" si="6"/>
        <v>Pablo Perez</v>
      </c>
      <c r="N84" t="str">
        <f t="shared" si="7"/>
        <v>Pablo Perez</v>
      </c>
    </row>
    <row r="85" spans="1:14" x14ac:dyDescent="0.25">
      <c r="A85">
        <v>10543</v>
      </c>
      <c r="B85" t="s">
        <v>56</v>
      </c>
      <c r="C85" t="s">
        <v>15</v>
      </c>
      <c r="D85">
        <v>2.95</v>
      </c>
      <c r="E85">
        <v>745.76</v>
      </c>
      <c r="F85" t="s">
        <v>46</v>
      </c>
      <c r="G85" t="s">
        <v>24</v>
      </c>
      <c r="H85" t="s">
        <v>57</v>
      </c>
      <c r="I85" t="s">
        <v>14</v>
      </c>
      <c r="K85" t="str">
        <f t="shared" si="4"/>
        <v>pablo perez</v>
      </c>
      <c r="L85" t="str">
        <f t="shared" si="5"/>
        <v>PABLO PEREZ</v>
      </c>
      <c r="M85" t="str">
        <f t="shared" si="6"/>
        <v>Pablo Perez</v>
      </c>
      <c r="N85" t="str">
        <f t="shared" si="7"/>
        <v>Pablo Perez</v>
      </c>
    </row>
    <row r="86" spans="1:14" x14ac:dyDescent="0.25">
      <c r="A86">
        <v>10544</v>
      </c>
      <c r="B86" t="s">
        <v>56</v>
      </c>
      <c r="C86" t="s">
        <v>18</v>
      </c>
      <c r="D86">
        <v>4.99</v>
      </c>
      <c r="E86">
        <v>200.4</v>
      </c>
      <c r="F86" t="s">
        <v>46</v>
      </c>
      <c r="G86" t="s">
        <v>24</v>
      </c>
      <c r="H86" t="s">
        <v>57</v>
      </c>
      <c r="I86" t="s">
        <v>14</v>
      </c>
      <c r="K86" t="str">
        <f t="shared" si="4"/>
        <v>pablo perez</v>
      </c>
      <c r="L86" t="str">
        <f t="shared" si="5"/>
        <v>PABLO PEREZ</v>
      </c>
      <c r="M86" t="str">
        <f t="shared" si="6"/>
        <v>Pablo Perez</v>
      </c>
      <c r="N86" t="str">
        <f t="shared" si="7"/>
        <v>Pablo Perez</v>
      </c>
    </row>
    <row r="87" spans="1:14" x14ac:dyDescent="0.25">
      <c r="A87">
        <v>10545</v>
      </c>
      <c r="B87" t="s">
        <v>58</v>
      </c>
      <c r="C87" t="s">
        <v>23</v>
      </c>
      <c r="D87">
        <v>12.99</v>
      </c>
      <c r="E87">
        <v>446.5</v>
      </c>
      <c r="F87" t="s">
        <v>46</v>
      </c>
      <c r="G87" t="s">
        <v>24</v>
      </c>
      <c r="H87" t="s">
        <v>57</v>
      </c>
      <c r="I87" t="s">
        <v>14</v>
      </c>
      <c r="K87" t="str">
        <f t="shared" si="4"/>
        <v>tom jackson</v>
      </c>
      <c r="L87" t="str">
        <f t="shared" si="5"/>
        <v>TOM JACKSON</v>
      </c>
      <c r="M87" t="str">
        <f t="shared" si="6"/>
        <v>Tom Jackson</v>
      </c>
      <c r="N87" t="str">
        <f t="shared" si="7"/>
        <v>Tom Jackson</v>
      </c>
    </row>
    <row r="88" spans="1:14" x14ac:dyDescent="0.25">
      <c r="A88">
        <v>10546</v>
      </c>
      <c r="B88" t="s">
        <v>58</v>
      </c>
      <c r="C88" t="s">
        <v>27</v>
      </c>
      <c r="D88">
        <v>9.9499999999999993</v>
      </c>
      <c r="E88">
        <v>201.01</v>
      </c>
      <c r="F88" t="s">
        <v>46</v>
      </c>
      <c r="G88" t="s">
        <v>24</v>
      </c>
      <c r="H88" t="s">
        <v>57</v>
      </c>
      <c r="I88" t="s">
        <v>14</v>
      </c>
      <c r="K88" t="str">
        <f t="shared" si="4"/>
        <v>tom jackson</v>
      </c>
      <c r="L88" t="str">
        <f t="shared" si="5"/>
        <v>TOM JACKSON</v>
      </c>
      <c r="M88" t="str">
        <f t="shared" si="6"/>
        <v>Tom Jackson</v>
      </c>
      <c r="N88" t="str">
        <f t="shared" si="7"/>
        <v>Tom Jackson</v>
      </c>
    </row>
    <row r="89" spans="1:14" x14ac:dyDescent="0.25">
      <c r="A89">
        <v>10547</v>
      </c>
      <c r="B89" t="s">
        <v>58</v>
      </c>
      <c r="C89" t="s">
        <v>10</v>
      </c>
      <c r="D89">
        <v>3.49</v>
      </c>
      <c r="E89">
        <v>630.37</v>
      </c>
      <c r="F89" t="s">
        <v>46</v>
      </c>
      <c r="G89" t="s">
        <v>24</v>
      </c>
      <c r="H89" t="s">
        <v>57</v>
      </c>
      <c r="I89" t="s">
        <v>14</v>
      </c>
      <c r="K89" t="str">
        <f t="shared" si="4"/>
        <v>tom jackson</v>
      </c>
      <c r="L89" t="str">
        <f t="shared" si="5"/>
        <v>TOM JACKSON</v>
      </c>
      <c r="M89" t="str">
        <f t="shared" si="6"/>
        <v>Tom Jackson</v>
      </c>
      <c r="N89" t="str">
        <f t="shared" si="7"/>
        <v>Tom Jackson</v>
      </c>
    </row>
    <row r="90" spans="1:14" x14ac:dyDescent="0.25">
      <c r="A90">
        <v>10548</v>
      </c>
      <c r="B90" t="s">
        <v>58</v>
      </c>
      <c r="C90" t="s">
        <v>15</v>
      </c>
      <c r="D90">
        <v>2.95</v>
      </c>
      <c r="E90">
        <v>745.76</v>
      </c>
      <c r="F90" t="s">
        <v>46</v>
      </c>
      <c r="G90" t="s">
        <v>24</v>
      </c>
      <c r="H90" t="s">
        <v>57</v>
      </c>
      <c r="I90" t="s">
        <v>14</v>
      </c>
      <c r="K90" t="str">
        <f t="shared" si="4"/>
        <v>tom jackson</v>
      </c>
      <c r="L90" t="str">
        <f t="shared" si="5"/>
        <v>TOM JACKSON</v>
      </c>
      <c r="M90" t="str">
        <f t="shared" si="6"/>
        <v>Tom Jackson</v>
      </c>
      <c r="N90" t="str">
        <f t="shared" si="7"/>
        <v>Tom Jackson</v>
      </c>
    </row>
    <row r="91" spans="1:14" x14ac:dyDescent="0.25">
      <c r="A91">
        <v>10549</v>
      </c>
      <c r="B91" t="s">
        <v>58</v>
      </c>
      <c r="C91" t="s">
        <v>18</v>
      </c>
      <c r="D91">
        <v>4.99</v>
      </c>
      <c r="E91">
        <v>200.4</v>
      </c>
      <c r="F91" t="s">
        <v>46</v>
      </c>
      <c r="G91" t="s">
        <v>24</v>
      </c>
      <c r="H91" t="s">
        <v>57</v>
      </c>
      <c r="I91" t="s">
        <v>14</v>
      </c>
      <c r="K91" t="str">
        <f t="shared" si="4"/>
        <v>tom jackson</v>
      </c>
      <c r="L91" t="str">
        <f t="shared" si="5"/>
        <v>TOM JACKSON</v>
      </c>
      <c r="M91" t="str">
        <f t="shared" si="6"/>
        <v>Tom Jackson</v>
      </c>
      <c r="N91" t="str">
        <f t="shared" si="7"/>
        <v>Tom Jackson</v>
      </c>
    </row>
    <row r="92" spans="1:14" x14ac:dyDescent="0.25">
      <c r="A92">
        <v>10550</v>
      </c>
      <c r="B92" t="s">
        <v>59</v>
      </c>
      <c r="C92" t="s">
        <v>23</v>
      </c>
      <c r="D92">
        <v>12.99</v>
      </c>
      <c r="E92">
        <v>461.89</v>
      </c>
      <c r="F92" t="s">
        <v>46</v>
      </c>
      <c r="G92" t="s">
        <v>24</v>
      </c>
      <c r="H92" t="s">
        <v>57</v>
      </c>
      <c r="I92" t="s">
        <v>14</v>
      </c>
      <c r="K92" t="str">
        <f t="shared" si="4"/>
        <v>tom jackson</v>
      </c>
      <c r="L92" t="str">
        <f t="shared" si="5"/>
        <v>TOM JACKSON</v>
      </c>
      <c r="M92" t="str">
        <f t="shared" si="6"/>
        <v>Tom Jackson</v>
      </c>
      <c r="N92" t="str">
        <f t="shared" si="7"/>
        <v>Tom Jackson</v>
      </c>
    </row>
    <row r="93" spans="1:14" x14ac:dyDescent="0.25">
      <c r="A93">
        <v>10551</v>
      </c>
      <c r="B93" t="s">
        <v>59</v>
      </c>
      <c r="C93" t="s">
        <v>27</v>
      </c>
      <c r="D93">
        <v>9.9499999999999993</v>
      </c>
      <c r="E93">
        <v>201.01</v>
      </c>
      <c r="F93" t="s">
        <v>46</v>
      </c>
      <c r="G93" t="s">
        <v>24</v>
      </c>
      <c r="H93" t="s">
        <v>57</v>
      </c>
      <c r="I93" t="s">
        <v>14</v>
      </c>
      <c r="K93" t="str">
        <f t="shared" si="4"/>
        <v>tom jackson</v>
      </c>
      <c r="L93" t="str">
        <f t="shared" si="5"/>
        <v>TOM JACKSON</v>
      </c>
      <c r="M93" t="str">
        <f t="shared" si="6"/>
        <v>Tom Jackson</v>
      </c>
      <c r="N93" t="str">
        <f t="shared" si="7"/>
        <v>Tom Jackson</v>
      </c>
    </row>
    <row r="94" spans="1:14" x14ac:dyDescent="0.25">
      <c r="A94">
        <v>10552</v>
      </c>
      <c r="B94" t="s">
        <v>59</v>
      </c>
      <c r="C94" t="s">
        <v>10</v>
      </c>
      <c r="D94">
        <v>3.49</v>
      </c>
      <c r="E94">
        <v>630.37</v>
      </c>
      <c r="F94" t="s">
        <v>11</v>
      </c>
      <c r="G94" t="s">
        <v>24</v>
      </c>
      <c r="H94" t="s">
        <v>57</v>
      </c>
      <c r="I94" t="s">
        <v>14</v>
      </c>
      <c r="K94" t="str">
        <f t="shared" si="4"/>
        <v>tom jackson</v>
      </c>
      <c r="L94" t="str">
        <f t="shared" si="5"/>
        <v>TOM JACKSON</v>
      </c>
      <c r="M94" t="str">
        <f t="shared" si="6"/>
        <v>Tom Jackson</v>
      </c>
      <c r="N94" t="str">
        <f t="shared" si="7"/>
        <v>Tom Jackson</v>
      </c>
    </row>
    <row r="95" spans="1:14" x14ac:dyDescent="0.25">
      <c r="A95">
        <v>10553</v>
      </c>
      <c r="B95" t="s">
        <v>59</v>
      </c>
      <c r="C95" t="s">
        <v>15</v>
      </c>
      <c r="D95">
        <v>2.95</v>
      </c>
      <c r="E95">
        <v>745.76</v>
      </c>
      <c r="F95" t="s">
        <v>11</v>
      </c>
      <c r="G95" t="s">
        <v>24</v>
      </c>
      <c r="H95" t="s">
        <v>57</v>
      </c>
      <c r="I95" t="s">
        <v>14</v>
      </c>
      <c r="K95" t="str">
        <f t="shared" si="4"/>
        <v>tom jackson</v>
      </c>
      <c r="L95" t="str">
        <f t="shared" si="5"/>
        <v>TOM JACKSON</v>
      </c>
      <c r="M95" t="str">
        <f t="shared" si="6"/>
        <v>Tom Jackson</v>
      </c>
      <c r="N95" t="str">
        <f t="shared" si="7"/>
        <v>Tom Jackson</v>
      </c>
    </row>
    <row r="96" spans="1:14" x14ac:dyDescent="0.25">
      <c r="A96">
        <v>10554</v>
      </c>
      <c r="B96" t="s">
        <v>59</v>
      </c>
      <c r="C96" t="s">
        <v>18</v>
      </c>
      <c r="D96">
        <v>4.99</v>
      </c>
      <c r="E96">
        <v>200.4</v>
      </c>
      <c r="F96" t="s">
        <v>11</v>
      </c>
      <c r="G96" t="s">
        <v>24</v>
      </c>
      <c r="H96" t="s">
        <v>57</v>
      </c>
      <c r="I96" t="s">
        <v>14</v>
      </c>
      <c r="K96" t="str">
        <f t="shared" si="4"/>
        <v>tom jackson</v>
      </c>
      <c r="L96" t="str">
        <f t="shared" si="5"/>
        <v>TOM JACKSON</v>
      </c>
      <c r="M96" t="str">
        <f t="shared" si="6"/>
        <v>Tom Jackson</v>
      </c>
      <c r="N96" t="str">
        <f t="shared" si="7"/>
        <v>Tom Jackson</v>
      </c>
    </row>
    <row r="97" spans="1:14" x14ac:dyDescent="0.25">
      <c r="A97">
        <v>10555</v>
      </c>
      <c r="B97" t="s">
        <v>60</v>
      </c>
      <c r="C97" t="s">
        <v>23</v>
      </c>
      <c r="D97">
        <v>12.99</v>
      </c>
      <c r="E97">
        <v>477.29</v>
      </c>
      <c r="F97" t="s">
        <v>11</v>
      </c>
      <c r="G97" t="s">
        <v>24</v>
      </c>
      <c r="H97" t="s">
        <v>57</v>
      </c>
      <c r="I97" t="s">
        <v>14</v>
      </c>
      <c r="K97" t="str">
        <f t="shared" si="4"/>
        <v>tom jackson</v>
      </c>
      <c r="L97" t="str">
        <f t="shared" si="5"/>
        <v>TOM JACKSON</v>
      </c>
      <c r="M97" t="str">
        <f t="shared" si="6"/>
        <v>Tom Jackson</v>
      </c>
      <c r="N97" t="str">
        <f t="shared" si="7"/>
        <v>Tom Jackson</v>
      </c>
    </row>
    <row r="98" spans="1:14" x14ac:dyDescent="0.25">
      <c r="A98">
        <v>10556</v>
      </c>
      <c r="B98" t="s">
        <v>60</v>
      </c>
      <c r="C98" t="s">
        <v>27</v>
      </c>
      <c r="D98">
        <v>9.9499999999999993</v>
      </c>
      <c r="E98">
        <v>201.01</v>
      </c>
      <c r="F98" t="s">
        <v>11</v>
      </c>
      <c r="G98" t="s">
        <v>24</v>
      </c>
      <c r="H98" t="s">
        <v>57</v>
      </c>
      <c r="I98" t="s">
        <v>14</v>
      </c>
      <c r="K98" t="str">
        <f t="shared" si="4"/>
        <v>tom jackson</v>
      </c>
      <c r="L98" t="str">
        <f t="shared" si="5"/>
        <v>TOM JACKSON</v>
      </c>
      <c r="M98" t="str">
        <f t="shared" si="6"/>
        <v>Tom Jackson</v>
      </c>
      <c r="N98" t="str">
        <f t="shared" si="7"/>
        <v>Tom Jackson</v>
      </c>
    </row>
    <row r="99" spans="1:14" x14ac:dyDescent="0.25">
      <c r="A99">
        <v>10557</v>
      </c>
      <c r="B99" t="s">
        <v>60</v>
      </c>
      <c r="C99" t="s">
        <v>10</v>
      </c>
      <c r="D99">
        <v>3.49</v>
      </c>
      <c r="E99">
        <v>630.37</v>
      </c>
      <c r="F99" t="s">
        <v>11</v>
      </c>
      <c r="G99" t="s">
        <v>24</v>
      </c>
      <c r="H99" t="s">
        <v>57</v>
      </c>
      <c r="I99" t="s">
        <v>14</v>
      </c>
      <c r="K99" t="str">
        <f t="shared" si="4"/>
        <v>tom jackson</v>
      </c>
      <c r="L99" t="str">
        <f t="shared" si="5"/>
        <v>TOM JACKSON</v>
      </c>
      <c r="M99" t="str">
        <f t="shared" si="6"/>
        <v>Tom Jackson</v>
      </c>
      <c r="N99" t="str">
        <f t="shared" si="7"/>
        <v>Tom Jackson</v>
      </c>
    </row>
    <row r="100" spans="1:14" x14ac:dyDescent="0.25">
      <c r="A100">
        <v>10558</v>
      </c>
      <c r="B100" t="s">
        <v>60</v>
      </c>
      <c r="C100" t="s">
        <v>15</v>
      </c>
      <c r="D100">
        <v>2.95</v>
      </c>
      <c r="E100">
        <v>677.97</v>
      </c>
      <c r="F100" t="s">
        <v>11</v>
      </c>
      <c r="G100" t="s">
        <v>24</v>
      </c>
      <c r="H100" t="s">
        <v>57</v>
      </c>
      <c r="I100" t="s">
        <v>14</v>
      </c>
      <c r="K100" t="str">
        <f t="shared" si="4"/>
        <v>tom jackson</v>
      </c>
      <c r="L100" t="str">
        <f t="shared" si="5"/>
        <v>TOM JACKSON</v>
      </c>
      <c r="M100" t="str">
        <f t="shared" si="6"/>
        <v>Tom Jackson</v>
      </c>
      <c r="N100" t="str">
        <f t="shared" si="7"/>
        <v>Tom Jackson</v>
      </c>
    </row>
    <row r="101" spans="1:14" x14ac:dyDescent="0.25">
      <c r="A101">
        <v>10559</v>
      </c>
      <c r="B101" t="s">
        <v>60</v>
      </c>
      <c r="C101" t="s">
        <v>18</v>
      </c>
      <c r="D101">
        <v>4.99</v>
      </c>
      <c r="E101">
        <v>200.4</v>
      </c>
      <c r="F101" t="s">
        <v>11</v>
      </c>
      <c r="G101" t="s">
        <v>24</v>
      </c>
      <c r="H101" t="s">
        <v>57</v>
      </c>
      <c r="I101" t="s">
        <v>14</v>
      </c>
      <c r="K101" t="str">
        <f t="shared" si="4"/>
        <v>tom jackson</v>
      </c>
      <c r="L101" t="str">
        <f t="shared" si="5"/>
        <v>TOM JACKSON</v>
      </c>
      <c r="M101" t="str">
        <f t="shared" si="6"/>
        <v>Tom Jackson</v>
      </c>
      <c r="N101" t="str">
        <f t="shared" si="7"/>
        <v>Tom Jackson</v>
      </c>
    </row>
    <row r="102" spans="1:14" x14ac:dyDescent="0.25">
      <c r="A102">
        <v>10560</v>
      </c>
      <c r="B102" t="s">
        <v>61</v>
      </c>
      <c r="C102" t="s">
        <v>23</v>
      </c>
      <c r="D102">
        <v>12.99</v>
      </c>
      <c r="E102">
        <v>477.29</v>
      </c>
      <c r="F102" t="s">
        <v>11</v>
      </c>
      <c r="G102" t="s">
        <v>24</v>
      </c>
      <c r="H102" t="s">
        <v>57</v>
      </c>
      <c r="I102" t="s">
        <v>14</v>
      </c>
      <c r="K102" t="str">
        <f t="shared" si="4"/>
        <v>tom jackson</v>
      </c>
      <c r="L102" t="str">
        <f t="shared" si="5"/>
        <v>TOM JACKSON</v>
      </c>
      <c r="M102" t="str">
        <f t="shared" si="6"/>
        <v>Tom Jackson</v>
      </c>
      <c r="N102" t="str">
        <f t="shared" si="7"/>
        <v>Tom Jackson</v>
      </c>
    </row>
    <row r="103" spans="1:14" x14ac:dyDescent="0.25">
      <c r="A103">
        <v>10561</v>
      </c>
      <c r="B103" t="s">
        <v>61</v>
      </c>
      <c r="C103" t="s">
        <v>27</v>
      </c>
      <c r="D103">
        <v>9.9499999999999993</v>
      </c>
      <c r="E103">
        <v>201.01</v>
      </c>
      <c r="F103" t="s">
        <v>11</v>
      </c>
      <c r="G103" t="s">
        <v>24</v>
      </c>
      <c r="H103" t="s">
        <v>57</v>
      </c>
      <c r="I103" t="s">
        <v>14</v>
      </c>
      <c r="K103" t="str">
        <f t="shared" si="4"/>
        <v>tom jackson</v>
      </c>
      <c r="L103" t="str">
        <f t="shared" si="5"/>
        <v>TOM JACKSON</v>
      </c>
      <c r="M103" t="str">
        <f t="shared" si="6"/>
        <v>Tom Jackson</v>
      </c>
      <c r="N103" t="str">
        <f t="shared" si="7"/>
        <v>Tom Jackson</v>
      </c>
    </row>
    <row r="104" spans="1:14" x14ac:dyDescent="0.25">
      <c r="A104">
        <v>10562</v>
      </c>
      <c r="B104" t="s">
        <v>61</v>
      </c>
      <c r="C104" t="s">
        <v>10</v>
      </c>
      <c r="D104">
        <v>3.49</v>
      </c>
      <c r="E104">
        <v>630.37</v>
      </c>
      <c r="F104" t="s">
        <v>11</v>
      </c>
      <c r="G104" t="s">
        <v>24</v>
      </c>
      <c r="H104" t="s">
        <v>57</v>
      </c>
      <c r="I104" t="s">
        <v>14</v>
      </c>
      <c r="K104" t="str">
        <f t="shared" si="4"/>
        <v>tom jackson</v>
      </c>
      <c r="L104" t="str">
        <f t="shared" si="5"/>
        <v>TOM JACKSON</v>
      </c>
      <c r="M104" t="str">
        <f t="shared" si="6"/>
        <v>Tom Jackson</v>
      </c>
      <c r="N104" t="str">
        <f t="shared" si="7"/>
        <v>Tom Jackson</v>
      </c>
    </row>
    <row r="105" spans="1:14" x14ac:dyDescent="0.25">
      <c r="A105">
        <v>10563</v>
      </c>
      <c r="B105" t="s">
        <v>61</v>
      </c>
      <c r="C105" t="s">
        <v>15</v>
      </c>
      <c r="D105">
        <v>2.95</v>
      </c>
      <c r="E105">
        <v>677.97</v>
      </c>
      <c r="F105" t="s">
        <v>11</v>
      </c>
      <c r="G105" t="s">
        <v>24</v>
      </c>
      <c r="H105" t="s">
        <v>57</v>
      </c>
      <c r="I105" t="s">
        <v>14</v>
      </c>
      <c r="K105" t="str">
        <f t="shared" si="4"/>
        <v>tom jackson</v>
      </c>
      <c r="L105" t="str">
        <f t="shared" si="5"/>
        <v>TOM JACKSON</v>
      </c>
      <c r="M105" t="str">
        <f t="shared" si="6"/>
        <v>Tom Jackson</v>
      </c>
      <c r="N105" t="str">
        <f t="shared" si="7"/>
        <v>Tom Jackson</v>
      </c>
    </row>
    <row r="106" spans="1:14" x14ac:dyDescent="0.25">
      <c r="A106">
        <v>10564</v>
      </c>
      <c r="B106" t="s">
        <v>61</v>
      </c>
      <c r="C106" t="s">
        <v>18</v>
      </c>
      <c r="D106">
        <v>4.99</v>
      </c>
      <c r="E106">
        <v>200.4</v>
      </c>
      <c r="F106" t="s">
        <v>11</v>
      </c>
      <c r="G106" t="s">
        <v>24</v>
      </c>
      <c r="H106" t="s">
        <v>57</v>
      </c>
      <c r="I106" t="s">
        <v>14</v>
      </c>
      <c r="K106" t="str">
        <f t="shared" si="4"/>
        <v>tom jackson</v>
      </c>
      <c r="L106" t="str">
        <f t="shared" si="5"/>
        <v>TOM JACKSON</v>
      </c>
      <c r="M106" t="str">
        <f t="shared" si="6"/>
        <v>Tom Jackson</v>
      </c>
      <c r="N106" t="str">
        <f t="shared" si="7"/>
        <v>Tom Jackson</v>
      </c>
    </row>
    <row r="107" spans="1:14" x14ac:dyDescent="0.25">
      <c r="A107">
        <v>10565</v>
      </c>
      <c r="B107" t="s">
        <v>62</v>
      </c>
      <c r="C107" t="s">
        <v>23</v>
      </c>
      <c r="D107">
        <v>12.99</v>
      </c>
      <c r="E107">
        <v>492.69</v>
      </c>
      <c r="F107" t="s">
        <v>11</v>
      </c>
      <c r="G107" t="s">
        <v>24</v>
      </c>
      <c r="H107" t="s">
        <v>57</v>
      </c>
      <c r="I107" t="s">
        <v>14</v>
      </c>
      <c r="K107" t="str">
        <f t="shared" si="4"/>
        <v>tom jackson</v>
      </c>
      <c r="L107" t="str">
        <f t="shared" si="5"/>
        <v>TOM JACKSON</v>
      </c>
      <c r="M107" t="str">
        <f t="shared" si="6"/>
        <v>Tom Jackson</v>
      </c>
      <c r="N107" t="str">
        <f t="shared" si="7"/>
        <v>Tom Jackson</v>
      </c>
    </row>
    <row r="108" spans="1:14" x14ac:dyDescent="0.25">
      <c r="A108">
        <v>10566</v>
      </c>
      <c r="B108" t="s">
        <v>62</v>
      </c>
      <c r="C108" t="s">
        <v>27</v>
      </c>
      <c r="D108">
        <v>9.9499999999999993</v>
      </c>
      <c r="E108">
        <v>201.01</v>
      </c>
      <c r="F108" t="s">
        <v>11</v>
      </c>
      <c r="G108" t="s">
        <v>24</v>
      </c>
      <c r="H108" t="s">
        <v>57</v>
      </c>
      <c r="I108" t="s">
        <v>14</v>
      </c>
      <c r="K108" t="str">
        <f t="shared" si="4"/>
        <v>tom jackson</v>
      </c>
      <c r="L108" t="str">
        <f t="shared" si="5"/>
        <v>TOM JACKSON</v>
      </c>
      <c r="M108" t="str">
        <f t="shared" si="6"/>
        <v>Tom Jackson</v>
      </c>
      <c r="N108" t="str">
        <f t="shared" si="7"/>
        <v>Tom Jackson</v>
      </c>
    </row>
    <row r="109" spans="1:14" x14ac:dyDescent="0.25">
      <c r="A109">
        <v>10567</v>
      </c>
      <c r="B109" t="s">
        <v>62</v>
      </c>
      <c r="C109" t="s">
        <v>10</v>
      </c>
      <c r="D109">
        <v>3.49</v>
      </c>
      <c r="E109">
        <v>630.37</v>
      </c>
      <c r="F109" t="s">
        <v>11</v>
      </c>
      <c r="G109" t="s">
        <v>24</v>
      </c>
      <c r="H109" t="s">
        <v>57</v>
      </c>
      <c r="I109" t="s">
        <v>14</v>
      </c>
      <c r="K109" t="str">
        <f t="shared" si="4"/>
        <v>tom jackson</v>
      </c>
      <c r="L109" t="str">
        <f t="shared" si="5"/>
        <v>TOM JACKSON</v>
      </c>
      <c r="M109" t="str">
        <f t="shared" si="6"/>
        <v>Tom Jackson</v>
      </c>
      <c r="N109" t="str">
        <f t="shared" si="7"/>
        <v>Tom Jackson</v>
      </c>
    </row>
    <row r="110" spans="1:14" x14ac:dyDescent="0.25">
      <c r="A110">
        <v>10568</v>
      </c>
      <c r="B110" t="s">
        <v>62</v>
      </c>
      <c r="C110" t="s">
        <v>15</v>
      </c>
      <c r="D110">
        <v>2.95</v>
      </c>
      <c r="E110">
        <v>677.97</v>
      </c>
      <c r="F110" t="s">
        <v>11</v>
      </c>
      <c r="G110" t="s">
        <v>24</v>
      </c>
      <c r="H110" t="s">
        <v>57</v>
      </c>
      <c r="I110" t="s">
        <v>14</v>
      </c>
      <c r="K110" t="str">
        <f t="shared" si="4"/>
        <v>tom jackson</v>
      </c>
      <c r="L110" t="str">
        <f t="shared" si="5"/>
        <v>TOM JACKSON</v>
      </c>
      <c r="M110" t="str">
        <f t="shared" si="6"/>
        <v>Tom Jackson</v>
      </c>
      <c r="N110" t="str">
        <f t="shared" si="7"/>
        <v>Tom Jackson</v>
      </c>
    </row>
    <row r="111" spans="1:14" x14ac:dyDescent="0.25">
      <c r="A111">
        <v>10569</v>
      </c>
      <c r="B111" t="s">
        <v>62</v>
      </c>
      <c r="C111" t="s">
        <v>18</v>
      </c>
      <c r="D111">
        <v>4.99</v>
      </c>
      <c r="E111">
        <v>200.4</v>
      </c>
      <c r="F111" t="s">
        <v>11</v>
      </c>
      <c r="G111" t="s">
        <v>24</v>
      </c>
      <c r="H111" t="s">
        <v>57</v>
      </c>
      <c r="I111" t="s">
        <v>14</v>
      </c>
      <c r="K111" t="str">
        <f t="shared" si="4"/>
        <v>tom jackson</v>
      </c>
      <c r="L111" t="str">
        <f t="shared" si="5"/>
        <v>TOM JACKSON</v>
      </c>
      <c r="M111" t="str">
        <f t="shared" si="6"/>
        <v>Tom Jackson</v>
      </c>
      <c r="N111" t="str">
        <f t="shared" si="7"/>
        <v>Tom Jackson</v>
      </c>
    </row>
    <row r="112" spans="1:14" x14ac:dyDescent="0.25">
      <c r="A112">
        <v>10570</v>
      </c>
      <c r="B112" t="s">
        <v>63</v>
      </c>
      <c r="C112" t="s">
        <v>23</v>
      </c>
      <c r="D112">
        <v>12.99</v>
      </c>
      <c r="E112">
        <v>492.69</v>
      </c>
      <c r="F112" t="s">
        <v>11</v>
      </c>
      <c r="G112" t="s">
        <v>24</v>
      </c>
      <c r="H112" t="s">
        <v>57</v>
      </c>
      <c r="I112" t="s">
        <v>14</v>
      </c>
      <c r="K112" t="str">
        <f t="shared" si="4"/>
        <v>tom jackson</v>
      </c>
      <c r="L112" t="str">
        <f t="shared" si="5"/>
        <v>TOM JACKSON</v>
      </c>
      <c r="M112" t="str">
        <f t="shared" si="6"/>
        <v>Tom Jackson</v>
      </c>
      <c r="N112" t="str">
        <f t="shared" si="7"/>
        <v>Tom Jackson</v>
      </c>
    </row>
    <row r="113" spans="1:14" x14ac:dyDescent="0.25">
      <c r="A113">
        <v>10571</v>
      </c>
      <c r="B113" t="s">
        <v>63</v>
      </c>
      <c r="C113" t="s">
        <v>27</v>
      </c>
      <c r="D113">
        <v>9.9499999999999993</v>
      </c>
      <c r="E113">
        <v>201.01</v>
      </c>
      <c r="F113" t="s">
        <v>11</v>
      </c>
      <c r="G113" t="s">
        <v>24</v>
      </c>
      <c r="H113" t="s">
        <v>57</v>
      </c>
      <c r="I113" t="s">
        <v>14</v>
      </c>
      <c r="K113" t="str">
        <f t="shared" si="4"/>
        <v>tom jackson</v>
      </c>
      <c r="L113" t="str">
        <f t="shared" si="5"/>
        <v>TOM JACKSON</v>
      </c>
      <c r="M113" t="str">
        <f t="shared" si="6"/>
        <v>Tom Jackson</v>
      </c>
      <c r="N113" t="str">
        <f t="shared" si="7"/>
        <v>Tom Jackson</v>
      </c>
    </row>
    <row r="114" spans="1:14" x14ac:dyDescent="0.25">
      <c r="A114">
        <v>10572</v>
      </c>
      <c r="B114" t="s">
        <v>63</v>
      </c>
      <c r="C114" t="s">
        <v>10</v>
      </c>
      <c r="D114">
        <v>3.49</v>
      </c>
      <c r="E114">
        <v>573.07000000000005</v>
      </c>
      <c r="F114" t="s">
        <v>11</v>
      </c>
      <c r="G114" t="s">
        <v>24</v>
      </c>
      <c r="H114" t="s">
        <v>31</v>
      </c>
      <c r="I114" t="s">
        <v>29</v>
      </c>
      <c r="K114" t="str">
        <f t="shared" si="4"/>
        <v>tom jackson</v>
      </c>
      <c r="L114" t="str">
        <f t="shared" si="5"/>
        <v>TOM JACKSON</v>
      </c>
      <c r="M114" t="str">
        <f t="shared" si="6"/>
        <v>Tom Jackson</v>
      </c>
      <c r="N114" t="str">
        <f t="shared" si="7"/>
        <v>Tom Jackson</v>
      </c>
    </row>
    <row r="115" spans="1:14" x14ac:dyDescent="0.25">
      <c r="A115">
        <v>10573</v>
      </c>
      <c r="B115" t="s">
        <v>63</v>
      </c>
      <c r="C115" t="s">
        <v>15</v>
      </c>
      <c r="D115">
        <v>2.95</v>
      </c>
      <c r="E115">
        <v>677.97</v>
      </c>
      <c r="F115" t="s">
        <v>11</v>
      </c>
      <c r="G115" t="s">
        <v>24</v>
      </c>
      <c r="H115" t="s">
        <v>31</v>
      </c>
      <c r="I115" t="s">
        <v>29</v>
      </c>
      <c r="K115" t="str">
        <f t="shared" si="4"/>
        <v>tom jackson</v>
      </c>
      <c r="L115" t="str">
        <f t="shared" si="5"/>
        <v>TOM JACKSON</v>
      </c>
      <c r="M115" t="str">
        <f t="shared" si="6"/>
        <v>Tom Jackson</v>
      </c>
      <c r="N115" t="str">
        <f t="shared" si="7"/>
        <v>Tom Jackson</v>
      </c>
    </row>
    <row r="116" spans="1:14" x14ac:dyDescent="0.25">
      <c r="A116">
        <v>10574</v>
      </c>
      <c r="B116" t="s">
        <v>63</v>
      </c>
      <c r="C116" t="s">
        <v>18</v>
      </c>
      <c r="D116">
        <v>4.99</v>
      </c>
      <c r="E116">
        <v>200.4</v>
      </c>
      <c r="F116" t="s">
        <v>11</v>
      </c>
      <c r="G116" t="s">
        <v>24</v>
      </c>
      <c r="H116" t="s">
        <v>31</v>
      </c>
      <c r="I116" t="s">
        <v>29</v>
      </c>
      <c r="K116" t="str">
        <f t="shared" si="4"/>
        <v>tom jackson</v>
      </c>
      <c r="L116" t="str">
        <f t="shared" si="5"/>
        <v>TOM JACKSON</v>
      </c>
      <c r="M116" t="str">
        <f t="shared" si="6"/>
        <v>Tom Jackson</v>
      </c>
      <c r="N116" t="str">
        <f t="shared" si="7"/>
        <v>Tom Jackson</v>
      </c>
    </row>
    <row r="117" spans="1:14" x14ac:dyDescent="0.25">
      <c r="A117">
        <v>10575</v>
      </c>
      <c r="B117" t="s">
        <v>64</v>
      </c>
      <c r="C117" t="s">
        <v>23</v>
      </c>
      <c r="D117">
        <v>12.99</v>
      </c>
      <c r="E117">
        <v>523.48</v>
      </c>
      <c r="F117" t="s">
        <v>11</v>
      </c>
      <c r="G117" t="s">
        <v>24</v>
      </c>
      <c r="H117" t="s">
        <v>31</v>
      </c>
      <c r="I117" t="s">
        <v>29</v>
      </c>
      <c r="K117" t="str">
        <f t="shared" si="4"/>
        <v>tom jackson</v>
      </c>
      <c r="L117" t="str">
        <f t="shared" si="5"/>
        <v>TOM JACKSON</v>
      </c>
      <c r="M117" t="str">
        <f t="shared" si="6"/>
        <v>Tom Jackson</v>
      </c>
      <c r="N117" t="str">
        <f t="shared" si="7"/>
        <v>Tom Jackson</v>
      </c>
    </row>
    <row r="118" spans="1:14" x14ac:dyDescent="0.25">
      <c r="A118">
        <v>10576</v>
      </c>
      <c r="B118" t="s">
        <v>64</v>
      </c>
      <c r="C118" t="s">
        <v>27</v>
      </c>
      <c r="D118">
        <v>9.9499999999999993</v>
      </c>
      <c r="E118">
        <v>201.01</v>
      </c>
      <c r="F118" t="s">
        <v>11</v>
      </c>
      <c r="G118" t="s">
        <v>24</v>
      </c>
      <c r="H118" t="s">
        <v>31</v>
      </c>
      <c r="I118" t="s">
        <v>29</v>
      </c>
      <c r="K118" t="str">
        <f t="shared" si="4"/>
        <v>remy monet</v>
      </c>
      <c r="L118" t="str">
        <f t="shared" si="5"/>
        <v>REMY MONET</v>
      </c>
      <c r="M118" t="str">
        <f t="shared" si="6"/>
        <v>Remy Monet</v>
      </c>
      <c r="N118" t="str">
        <f t="shared" si="7"/>
        <v>Remy Monet</v>
      </c>
    </row>
    <row r="119" spans="1:14" x14ac:dyDescent="0.25">
      <c r="A119">
        <v>10577</v>
      </c>
      <c r="B119" t="s">
        <v>64</v>
      </c>
      <c r="C119" t="s">
        <v>10</v>
      </c>
      <c r="D119">
        <v>3.49</v>
      </c>
      <c r="E119">
        <v>630.37</v>
      </c>
      <c r="F119" t="s">
        <v>11</v>
      </c>
      <c r="G119" t="s">
        <v>24</v>
      </c>
      <c r="H119" t="s">
        <v>31</v>
      </c>
      <c r="I119" t="s">
        <v>29</v>
      </c>
      <c r="K119" t="str">
        <f t="shared" si="4"/>
        <v>remy monet</v>
      </c>
      <c r="L119" t="str">
        <f t="shared" si="5"/>
        <v>REMY MONET</v>
      </c>
      <c r="M119" t="str">
        <f t="shared" si="6"/>
        <v>Remy Monet</v>
      </c>
      <c r="N119" t="str">
        <f t="shared" si="7"/>
        <v>Remy Monet</v>
      </c>
    </row>
    <row r="120" spans="1:14" x14ac:dyDescent="0.25">
      <c r="A120">
        <v>10578</v>
      </c>
      <c r="B120" t="s">
        <v>64</v>
      </c>
      <c r="C120" t="s">
        <v>15</v>
      </c>
      <c r="D120">
        <v>2.95</v>
      </c>
      <c r="E120">
        <v>677.97</v>
      </c>
      <c r="F120" t="s">
        <v>11</v>
      </c>
      <c r="G120" t="s">
        <v>24</v>
      </c>
      <c r="H120" t="s">
        <v>31</v>
      </c>
      <c r="I120" t="s">
        <v>29</v>
      </c>
      <c r="K120" t="str">
        <f t="shared" si="4"/>
        <v>remy monet</v>
      </c>
      <c r="L120" t="str">
        <f t="shared" si="5"/>
        <v>REMY MONET</v>
      </c>
      <c r="M120" t="str">
        <f t="shared" si="6"/>
        <v>Remy Monet</v>
      </c>
      <c r="N120" t="str">
        <f t="shared" si="7"/>
        <v>Remy Monet</v>
      </c>
    </row>
    <row r="121" spans="1:14" x14ac:dyDescent="0.25">
      <c r="A121">
        <v>10579</v>
      </c>
      <c r="B121" t="s">
        <v>64</v>
      </c>
      <c r="C121" t="s">
        <v>18</v>
      </c>
      <c r="D121">
        <v>4.99</v>
      </c>
      <c r="E121">
        <v>200.4</v>
      </c>
      <c r="F121" t="s">
        <v>11</v>
      </c>
      <c r="G121" t="s">
        <v>24</v>
      </c>
      <c r="H121" t="s">
        <v>31</v>
      </c>
      <c r="I121" t="s">
        <v>29</v>
      </c>
      <c r="K121" t="str">
        <f t="shared" si="4"/>
        <v>remy monet</v>
      </c>
      <c r="L121" t="str">
        <f t="shared" si="5"/>
        <v>REMY MONET</v>
      </c>
      <c r="M121" t="str">
        <f t="shared" si="6"/>
        <v>Remy Monet</v>
      </c>
      <c r="N121" t="str">
        <f t="shared" si="7"/>
        <v>Remy Monet</v>
      </c>
    </row>
    <row r="122" spans="1:14" x14ac:dyDescent="0.25">
      <c r="A122">
        <v>10580</v>
      </c>
      <c r="B122" t="s">
        <v>65</v>
      </c>
      <c r="C122" t="s">
        <v>23</v>
      </c>
      <c r="D122">
        <v>12.99</v>
      </c>
      <c r="E122">
        <v>523.48</v>
      </c>
      <c r="F122" t="s">
        <v>11</v>
      </c>
      <c r="G122" t="s">
        <v>24</v>
      </c>
      <c r="H122" t="s">
        <v>31</v>
      </c>
      <c r="I122" t="s">
        <v>29</v>
      </c>
      <c r="K122" t="str">
        <f t="shared" si="4"/>
        <v>remy monet</v>
      </c>
      <c r="L122" t="str">
        <f t="shared" si="5"/>
        <v>REMY MONET</v>
      </c>
      <c r="M122" t="str">
        <f t="shared" si="6"/>
        <v>Remy Monet</v>
      </c>
      <c r="N122" t="str">
        <f t="shared" si="7"/>
        <v>Remy Monet</v>
      </c>
    </row>
    <row r="123" spans="1:14" x14ac:dyDescent="0.25">
      <c r="A123">
        <v>10581</v>
      </c>
      <c r="B123" t="s">
        <v>65</v>
      </c>
      <c r="C123" t="s">
        <v>27</v>
      </c>
      <c r="D123">
        <v>9.9499999999999993</v>
      </c>
      <c r="E123">
        <v>201.01</v>
      </c>
      <c r="F123" t="s">
        <v>11</v>
      </c>
      <c r="G123" t="s">
        <v>24</v>
      </c>
      <c r="H123" t="s">
        <v>31</v>
      </c>
      <c r="I123" t="s">
        <v>29</v>
      </c>
      <c r="K123" t="str">
        <f t="shared" si="4"/>
        <v>remy monet</v>
      </c>
      <c r="L123" t="str">
        <f t="shared" si="5"/>
        <v>REMY MONET</v>
      </c>
      <c r="M123" t="str">
        <f t="shared" si="6"/>
        <v>Remy Monet</v>
      </c>
      <c r="N123" t="str">
        <f t="shared" si="7"/>
        <v>Remy Monet</v>
      </c>
    </row>
    <row r="124" spans="1:14" x14ac:dyDescent="0.25">
      <c r="A124">
        <v>10582</v>
      </c>
      <c r="B124" t="s">
        <v>65</v>
      </c>
      <c r="C124" t="s">
        <v>10</v>
      </c>
      <c r="D124">
        <v>3.49</v>
      </c>
      <c r="E124">
        <v>630.37</v>
      </c>
      <c r="F124" t="s">
        <v>11</v>
      </c>
      <c r="G124" t="s">
        <v>24</v>
      </c>
      <c r="H124" t="s">
        <v>57</v>
      </c>
      <c r="I124" t="s">
        <v>14</v>
      </c>
      <c r="K124" t="str">
        <f t="shared" si="4"/>
        <v>remy monet</v>
      </c>
      <c r="L124" t="str">
        <f t="shared" si="5"/>
        <v>REMY MONET</v>
      </c>
      <c r="M124" t="str">
        <f t="shared" si="6"/>
        <v>Remy Monet</v>
      </c>
      <c r="N124" t="str">
        <f t="shared" si="7"/>
        <v>Remy Monet</v>
      </c>
    </row>
    <row r="125" spans="1:14" x14ac:dyDescent="0.25">
      <c r="A125">
        <v>10583</v>
      </c>
      <c r="B125" t="s">
        <v>65</v>
      </c>
      <c r="C125" t="s">
        <v>15</v>
      </c>
      <c r="D125">
        <v>2.95</v>
      </c>
      <c r="E125">
        <v>677.97</v>
      </c>
      <c r="F125" t="s">
        <v>11</v>
      </c>
      <c r="G125" t="s">
        <v>24</v>
      </c>
      <c r="H125" t="s">
        <v>57</v>
      </c>
      <c r="I125" t="s">
        <v>14</v>
      </c>
      <c r="K125" t="str">
        <f t="shared" si="4"/>
        <v>remy monet</v>
      </c>
      <c r="L125" t="str">
        <f t="shared" si="5"/>
        <v>REMY MONET</v>
      </c>
      <c r="M125" t="str">
        <f t="shared" si="6"/>
        <v>Remy Monet</v>
      </c>
      <c r="N125" t="str">
        <f t="shared" si="7"/>
        <v>Remy Monet</v>
      </c>
    </row>
    <row r="126" spans="1:14" x14ac:dyDescent="0.25">
      <c r="A126">
        <v>10584</v>
      </c>
      <c r="B126" t="s">
        <v>65</v>
      </c>
      <c r="C126" t="s">
        <v>18</v>
      </c>
      <c r="D126">
        <v>4.99</v>
      </c>
      <c r="E126">
        <v>200.4</v>
      </c>
      <c r="F126" t="s">
        <v>11</v>
      </c>
      <c r="G126" t="s">
        <v>24</v>
      </c>
      <c r="H126" t="s">
        <v>57</v>
      </c>
      <c r="I126" t="s">
        <v>14</v>
      </c>
      <c r="K126" t="str">
        <f t="shared" si="4"/>
        <v>remy monet</v>
      </c>
      <c r="L126" t="str">
        <f t="shared" si="5"/>
        <v>REMY MONET</v>
      </c>
      <c r="M126" t="str">
        <f t="shared" si="6"/>
        <v>Remy Monet</v>
      </c>
      <c r="N126" t="str">
        <f t="shared" si="7"/>
        <v>Remy Monet</v>
      </c>
    </row>
    <row r="127" spans="1:14" x14ac:dyDescent="0.25">
      <c r="A127">
        <v>10585</v>
      </c>
      <c r="B127" t="s">
        <v>66</v>
      </c>
      <c r="C127" t="s">
        <v>23</v>
      </c>
      <c r="D127">
        <v>12.99</v>
      </c>
      <c r="E127">
        <v>538.88</v>
      </c>
      <c r="F127" t="s">
        <v>11</v>
      </c>
      <c r="G127" t="s">
        <v>24</v>
      </c>
      <c r="H127" t="s">
        <v>57</v>
      </c>
      <c r="I127" t="s">
        <v>14</v>
      </c>
      <c r="K127" t="str">
        <f t="shared" si="4"/>
        <v>remy monet</v>
      </c>
      <c r="L127" t="str">
        <f t="shared" si="5"/>
        <v>REMY MONET</v>
      </c>
      <c r="M127" t="str">
        <f t="shared" si="6"/>
        <v>Remy Monet</v>
      </c>
      <c r="N127" t="str">
        <f t="shared" si="7"/>
        <v>Remy Monet</v>
      </c>
    </row>
    <row r="128" spans="1:14" x14ac:dyDescent="0.25">
      <c r="A128">
        <v>10586</v>
      </c>
      <c r="B128" t="s">
        <v>66</v>
      </c>
      <c r="C128" t="s">
        <v>27</v>
      </c>
      <c r="D128">
        <v>9.9499999999999993</v>
      </c>
      <c r="E128">
        <v>201.01</v>
      </c>
      <c r="F128" t="s">
        <v>11</v>
      </c>
      <c r="G128" t="s">
        <v>24</v>
      </c>
      <c r="H128" t="s">
        <v>57</v>
      </c>
      <c r="I128" t="s">
        <v>14</v>
      </c>
      <c r="K128" t="str">
        <f t="shared" si="4"/>
        <v>tom jackson</v>
      </c>
      <c r="L128" t="str">
        <f t="shared" si="5"/>
        <v>TOM JACKSON</v>
      </c>
      <c r="M128" t="str">
        <f t="shared" si="6"/>
        <v>Tom Jackson</v>
      </c>
      <c r="N128" t="str">
        <f t="shared" si="7"/>
        <v>Tom Jackson</v>
      </c>
    </row>
    <row r="129" spans="1:14" x14ac:dyDescent="0.25">
      <c r="A129">
        <v>10537</v>
      </c>
      <c r="B129" t="s">
        <v>55</v>
      </c>
      <c r="C129" t="s">
        <v>10</v>
      </c>
      <c r="D129">
        <v>3.49</v>
      </c>
      <c r="E129">
        <v>630.37</v>
      </c>
      <c r="F129" t="s">
        <v>46</v>
      </c>
      <c r="G129" t="s">
        <v>24</v>
      </c>
      <c r="H129" t="s">
        <v>35</v>
      </c>
      <c r="I129" t="s">
        <v>17</v>
      </c>
      <c r="K129" t="str">
        <f t="shared" si="4"/>
        <v>tom jackson</v>
      </c>
      <c r="L129" t="str">
        <f t="shared" si="5"/>
        <v>TOM JACKSON</v>
      </c>
      <c r="M129" t="str">
        <f t="shared" si="6"/>
        <v>Tom Jackson</v>
      </c>
      <c r="N129" t="str">
        <f t="shared" si="7"/>
        <v>Tom Jackson</v>
      </c>
    </row>
    <row r="130" spans="1:14" x14ac:dyDescent="0.25">
      <c r="A130">
        <v>10538</v>
      </c>
      <c r="B130" t="s">
        <v>55</v>
      </c>
      <c r="C130" t="s">
        <v>15</v>
      </c>
      <c r="D130">
        <v>2.95</v>
      </c>
      <c r="E130">
        <v>745.76</v>
      </c>
      <c r="F130" t="s">
        <v>46</v>
      </c>
      <c r="G130" t="s">
        <v>24</v>
      </c>
      <c r="H130" t="s">
        <v>35</v>
      </c>
      <c r="I130" t="s">
        <v>17</v>
      </c>
      <c r="K130" t="str">
        <f t="shared" si="4"/>
        <v>tom jackson</v>
      </c>
      <c r="L130" t="str">
        <f t="shared" si="5"/>
        <v>TOM JACKSON</v>
      </c>
      <c r="M130" t="str">
        <f t="shared" si="6"/>
        <v>Tom Jackson</v>
      </c>
      <c r="N130" t="str">
        <f t="shared" si="7"/>
        <v>Tom Jackson</v>
      </c>
    </row>
    <row r="131" spans="1:14" x14ac:dyDescent="0.25">
      <c r="A131">
        <v>10539</v>
      </c>
      <c r="B131" t="s">
        <v>55</v>
      </c>
      <c r="C131" t="s">
        <v>18</v>
      </c>
      <c r="D131">
        <v>4.99</v>
      </c>
      <c r="E131">
        <v>200.4</v>
      </c>
      <c r="F131" t="s">
        <v>46</v>
      </c>
      <c r="G131" t="s">
        <v>24</v>
      </c>
      <c r="H131" t="s">
        <v>35</v>
      </c>
      <c r="I131" t="s">
        <v>17</v>
      </c>
      <c r="K131" t="str">
        <f t="shared" si="4"/>
        <v>tom jackson</v>
      </c>
      <c r="L131" t="str">
        <f t="shared" si="5"/>
        <v>TOM JACKSON</v>
      </c>
      <c r="M131" t="str">
        <f t="shared" si="6"/>
        <v>Tom Jackson</v>
      </c>
      <c r="N131" t="str">
        <f t="shared" si="7"/>
        <v>Tom Jackson</v>
      </c>
    </row>
    <row r="132" spans="1:14" x14ac:dyDescent="0.25">
      <c r="A132">
        <v>10590</v>
      </c>
      <c r="B132" t="s">
        <v>67</v>
      </c>
      <c r="C132" t="s">
        <v>23</v>
      </c>
      <c r="D132">
        <v>12.99</v>
      </c>
      <c r="E132">
        <v>554.27</v>
      </c>
      <c r="F132" t="s">
        <v>11</v>
      </c>
      <c r="G132" t="s">
        <v>24</v>
      </c>
      <c r="H132" t="s">
        <v>57</v>
      </c>
      <c r="I132" t="s">
        <v>14</v>
      </c>
      <c r="K132" t="str">
        <f t="shared" si="4"/>
        <v>tom jackson</v>
      </c>
      <c r="L132" t="str">
        <f t="shared" si="5"/>
        <v>TOM JACKSON</v>
      </c>
      <c r="M132" t="str">
        <f t="shared" si="6"/>
        <v>Tom Jackson</v>
      </c>
      <c r="N132" t="str">
        <f t="shared" si="7"/>
        <v>Tom Jackson</v>
      </c>
    </row>
    <row r="133" spans="1:14" x14ac:dyDescent="0.25">
      <c r="A133">
        <v>10591</v>
      </c>
      <c r="B133" t="s">
        <v>67</v>
      </c>
      <c r="C133" t="s">
        <v>27</v>
      </c>
      <c r="D133">
        <v>9.9499999999999993</v>
      </c>
      <c r="E133">
        <v>201.01</v>
      </c>
      <c r="F133" t="s">
        <v>11</v>
      </c>
      <c r="G133" t="s">
        <v>24</v>
      </c>
      <c r="H133" t="s">
        <v>57</v>
      </c>
      <c r="I133" t="s">
        <v>14</v>
      </c>
      <c r="K133" t="str">
        <f t="shared" si="4"/>
        <v>pablo perez</v>
      </c>
      <c r="L133" t="str">
        <f t="shared" si="5"/>
        <v>PABLO PEREZ</v>
      </c>
      <c r="M133" t="str">
        <f t="shared" si="6"/>
        <v>Pablo Perez</v>
      </c>
      <c r="N133" t="str">
        <f t="shared" si="7"/>
        <v>Pablo Perez</v>
      </c>
    </row>
    <row r="134" spans="1:14" x14ac:dyDescent="0.25">
      <c r="A134">
        <v>10592</v>
      </c>
      <c r="B134" t="s">
        <v>67</v>
      </c>
      <c r="C134" t="s">
        <v>10</v>
      </c>
      <c r="D134">
        <v>3.49</v>
      </c>
      <c r="E134">
        <v>573.07000000000005</v>
      </c>
      <c r="F134" t="s">
        <v>11</v>
      </c>
      <c r="G134" t="s">
        <v>24</v>
      </c>
      <c r="H134" t="s">
        <v>57</v>
      </c>
      <c r="I134" t="s">
        <v>14</v>
      </c>
      <c r="K134" t="str">
        <f t="shared" si="4"/>
        <v>pablo perez</v>
      </c>
      <c r="L134" t="str">
        <f t="shared" si="5"/>
        <v>PABLO PEREZ</v>
      </c>
      <c r="M134" t="str">
        <f t="shared" si="6"/>
        <v>Pablo Perez</v>
      </c>
      <c r="N134" t="str">
        <f t="shared" si="7"/>
        <v>Pablo Perez</v>
      </c>
    </row>
    <row r="135" spans="1:14" x14ac:dyDescent="0.25">
      <c r="A135">
        <v>10593</v>
      </c>
      <c r="B135" t="s">
        <v>67</v>
      </c>
      <c r="C135" t="s">
        <v>15</v>
      </c>
      <c r="D135">
        <v>2.95</v>
      </c>
      <c r="E135">
        <v>677.97</v>
      </c>
      <c r="F135" t="s">
        <v>11</v>
      </c>
      <c r="G135" t="s">
        <v>24</v>
      </c>
      <c r="H135" t="s">
        <v>57</v>
      </c>
      <c r="I135" t="s">
        <v>14</v>
      </c>
      <c r="K135" t="str">
        <f t="shared" ref="K135:K198" si="8">LOWER(H131)</f>
        <v>pablo perez</v>
      </c>
      <c r="L135" t="str">
        <f t="shared" ref="L135:L198" si="9">UPPER(H131)</f>
        <v>PABLO PEREZ</v>
      </c>
      <c r="M135" t="str">
        <f t="shared" ref="M135:M198" si="10">TRIM(H131)</f>
        <v>Pablo Perez</v>
      </c>
      <c r="N135" t="str">
        <f t="shared" ref="N135:N198" si="11">TRIM(PROPER(H131))</f>
        <v>Pablo Perez</v>
      </c>
    </row>
    <row r="136" spans="1:14" x14ac:dyDescent="0.25">
      <c r="A136">
        <v>10594</v>
      </c>
      <c r="B136" t="s">
        <v>67</v>
      </c>
      <c r="C136" t="s">
        <v>18</v>
      </c>
      <c r="D136">
        <v>4.99</v>
      </c>
      <c r="E136">
        <v>200.4</v>
      </c>
      <c r="F136" t="s">
        <v>11</v>
      </c>
      <c r="G136" t="s">
        <v>24</v>
      </c>
      <c r="H136" t="s">
        <v>57</v>
      </c>
      <c r="I136" t="s">
        <v>14</v>
      </c>
      <c r="K136" t="str">
        <f t="shared" si="8"/>
        <v>tom jackson</v>
      </c>
      <c r="L136" t="str">
        <f t="shared" si="9"/>
        <v>TOM JACKSON</v>
      </c>
      <c r="M136" t="str">
        <f t="shared" si="10"/>
        <v>Tom Jackson</v>
      </c>
      <c r="N136" t="str">
        <f t="shared" si="11"/>
        <v>Tom Jackson</v>
      </c>
    </row>
    <row r="137" spans="1:14" x14ac:dyDescent="0.25">
      <c r="A137">
        <v>10595</v>
      </c>
      <c r="B137" t="s">
        <v>68</v>
      </c>
      <c r="C137" t="s">
        <v>23</v>
      </c>
      <c r="D137">
        <v>12.99</v>
      </c>
      <c r="E137">
        <v>538.88</v>
      </c>
      <c r="F137" t="s">
        <v>11</v>
      </c>
      <c r="G137" t="s">
        <v>24</v>
      </c>
      <c r="H137" t="s">
        <v>57</v>
      </c>
      <c r="I137" t="s">
        <v>14</v>
      </c>
      <c r="K137" t="str">
        <f t="shared" si="8"/>
        <v>tom jackson</v>
      </c>
      <c r="L137" t="str">
        <f t="shared" si="9"/>
        <v>TOM JACKSON</v>
      </c>
      <c r="M137" t="str">
        <f t="shared" si="10"/>
        <v>Tom Jackson</v>
      </c>
      <c r="N137" t="str">
        <f t="shared" si="11"/>
        <v>Tom Jackson</v>
      </c>
    </row>
    <row r="138" spans="1:14" x14ac:dyDescent="0.25">
      <c r="A138">
        <v>10596</v>
      </c>
      <c r="B138" t="s">
        <v>68</v>
      </c>
      <c r="C138" t="s">
        <v>27</v>
      </c>
      <c r="D138">
        <v>9.9499999999999993</v>
      </c>
      <c r="E138">
        <v>201.01</v>
      </c>
      <c r="F138" t="s">
        <v>11</v>
      </c>
      <c r="G138" t="s">
        <v>24</v>
      </c>
      <c r="H138" t="s">
        <v>57</v>
      </c>
      <c r="I138" t="s">
        <v>14</v>
      </c>
      <c r="K138" t="str">
        <f t="shared" si="8"/>
        <v>tom jackson</v>
      </c>
      <c r="L138" t="str">
        <f t="shared" si="9"/>
        <v>TOM JACKSON</v>
      </c>
      <c r="M138" t="str">
        <f t="shared" si="10"/>
        <v>Tom Jackson</v>
      </c>
      <c r="N138" t="str">
        <f t="shared" si="11"/>
        <v>Tom Jackson</v>
      </c>
    </row>
    <row r="139" spans="1:14" x14ac:dyDescent="0.25">
      <c r="A139">
        <v>10597</v>
      </c>
      <c r="B139" t="s">
        <v>68</v>
      </c>
      <c r="C139" t="s">
        <v>10</v>
      </c>
      <c r="D139">
        <v>3.49</v>
      </c>
      <c r="E139">
        <v>573.07000000000005</v>
      </c>
      <c r="F139" t="s">
        <v>11</v>
      </c>
      <c r="G139" t="s">
        <v>24</v>
      </c>
      <c r="H139" t="s">
        <v>57</v>
      </c>
      <c r="I139" t="s">
        <v>14</v>
      </c>
      <c r="K139" t="str">
        <f t="shared" si="8"/>
        <v>tom jackson</v>
      </c>
      <c r="L139" t="str">
        <f t="shared" si="9"/>
        <v>TOM JACKSON</v>
      </c>
      <c r="M139" t="str">
        <f t="shared" si="10"/>
        <v>Tom Jackson</v>
      </c>
      <c r="N139" t="str">
        <f t="shared" si="11"/>
        <v>Tom Jackson</v>
      </c>
    </row>
    <row r="140" spans="1:14" x14ac:dyDescent="0.25">
      <c r="A140">
        <v>10598</v>
      </c>
      <c r="B140" t="s">
        <v>68</v>
      </c>
      <c r="C140" t="s">
        <v>15</v>
      </c>
      <c r="D140">
        <v>2.95</v>
      </c>
      <c r="E140">
        <v>677.97</v>
      </c>
      <c r="F140" t="s">
        <v>11</v>
      </c>
      <c r="G140" t="s">
        <v>24</v>
      </c>
      <c r="H140" t="s">
        <v>57</v>
      </c>
      <c r="I140" t="s">
        <v>14</v>
      </c>
      <c r="K140" t="str">
        <f t="shared" si="8"/>
        <v>tom jackson</v>
      </c>
      <c r="L140" t="str">
        <f t="shared" si="9"/>
        <v>TOM JACKSON</v>
      </c>
      <c r="M140" t="str">
        <f t="shared" si="10"/>
        <v>Tom Jackson</v>
      </c>
      <c r="N140" t="str">
        <f t="shared" si="11"/>
        <v>Tom Jackson</v>
      </c>
    </row>
    <row r="141" spans="1:14" x14ac:dyDescent="0.25">
      <c r="A141">
        <v>10599</v>
      </c>
      <c r="B141" t="s">
        <v>68</v>
      </c>
      <c r="C141" t="s">
        <v>18</v>
      </c>
      <c r="D141">
        <v>4.99</v>
      </c>
      <c r="E141">
        <v>200.4</v>
      </c>
      <c r="F141" t="s">
        <v>11</v>
      </c>
      <c r="G141" t="s">
        <v>24</v>
      </c>
      <c r="H141" t="s">
        <v>57</v>
      </c>
      <c r="I141" t="s">
        <v>14</v>
      </c>
      <c r="K141" t="str">
        <f t="shared" si="8"/>
        <v>tom jackson</v>
      </c>
      <c r="L141" t="str">
        <f t="shared" si="9"/>
        <v>TOM JACKSON</v>
      </c>
      <c r="M141" t="str">
        <f t="shared" si="10"/>
        <v>Tom Jackson</v>
      </c>
      <c r="N141" t="str">
        <f t="shared" si="11"/>
        <v>Tom Jackson</v>
      </c>
    </row>
    <row r="142" spans="1:14" x14ac:dyDescent="0.25">
      <c r="A142">
        <v>10600</v>
      </c>
      <c r="B142" t="s">
        <v>69</v>
      </c>
      <c r="C142" t="s">
        <v>23</v>
      </c>
      <c r="D142">
        <v>12.99</v>
      </c>
      <c r="E142">
        <v>523.48</v>
      </c>
      <c r="F142" t="s">
        <v>11</v>
      </c>
      <c r="G142" t="s">
        <v>24</v>
      </c>
      <c r="H142" t="s">
        <v>57</v>
      </c>
      <c r="I142" t="s">
        <v>14</v>
      </c>
      <c r="K142" t="str">
        <f t="shared" si="8"/>
        <v>tom jackson</v>
      </c>
      <c r="L142" t="str">
        <f t="shared" si="9"/>
        <v>TOM JACKSON</v>
      </c>
      <c r="M142" t="str">
        <f t="shared" si="10"/>
        <v>Tom Jackson</v>
      </c>
      <c r="N142" t="str">
        <f t="shared" si="11"/>
        <v>Tom Jackson</v>
      </c>
    </row>
    <row r="143" spans="1:14" x14ac:dyDescent="0.25">
      <c r="A143">
        <v>10601</v>
      </c>
      <c r="B143" t="s">
        <v>69</v>
      </c>
      <c r="C143" t="s">
        <v>27</v>
      </c>
      <c r="D143">
        <v>9.9499999999999993</v>
      </c>
      <c r="E143">
        <v>201.01</v>
      </c>
      <c r="F143" t="s">
        <v>11</v>
      </c>
      <c r="G143" t="s">
        <v>24</v>
      </c>
      <c r="H143" t="s">
        <v>57</v>
      </c>
      <c r="I143" t="s">
        <v>14</v>
      </c>
      <c r="K143" t="str">
        <f t="shared" si="8"/>
        <v>tom jackson</v>
      </c>
      <c r="L143" t="str">
        <f t="shared" si="9"/>
        <v>TOM JACKSON</v>
      </c>
      <c r="M143" t="str">
        <f t="shared" si="10"/>
        <v>Tom Jackson</v>
      </c>
      <c r="N143" t="str">
        <f t="shared" si="11"/>
        <v>Tom Jackson</v>
      </c>
    </row>
    <row r="144" spans="1:14" x14ac:dyDescent="0.25">
      <c r="A144">
        <v>10602</v>
      </c>
      <c r="B144" t="s">
        <v>69</v>
      </c>
      <c r="C144" t="s">
        <v>10</v>
      </c>
      <c r="D144">
        <v>3.49</v>
      </c>
      <c r="E144">
        <v>630.37</v>
      </c>
      <c r="F144" t="s">
        <v>11</v>
      </c>
      <c r="G144" t="s">
        <v>50</v>
      </c>
      <c r="H144" t="s">
        <v>57</v>
      </c>
      <c r="I144" t="s">
        <v>14</v>
      </c>
      <c r="K144" t="str">
        <f t="shared" si="8"/>
        <v>tom jackson</v>
      </c>
      <c r="L144" t="str">
        <f t="shared" si="9"/>
        <v>TOM JACKSON</v>
      </c>
      <c r="M144" t="str">
        <f t="shared" si="10"/>
        <v>Tom Jackson</v>
      </c>
      <c r="N144" t="str">
        <f t="shared" si="11"/>
        <v>Tom Jackson</v>
      </c>
    </row>
    <row r="145" spans="1:14" x14ac:dyDescent="0.25">
      <c r="A145">
        <v>10603</v>
      </c>
      <c r="B145" t="s">
        <v>69</v>
      </c>
      <c r="C145" t="s">
        <v>15</v>
      </c>
      <c r="D145">
        <v>2.95</v>
      </c>
      <c r="E145">
        <v>677.97</v>
      </c>
      <c r="F145" t="s">
        <v>11</v>
      </c>
      <c r="G145" t="s">
        <v>50</v>
      </c>
      <c r="H145" t="s">
        <v>57</v>
      </c>
      <c r="I145" t="s">
        <v>14</v>
      </c>
      <c r="K145" t="str">
        <f t="shared" si="8"/>
        <v>tom jackson</v>
      </c>
      <c r="L145" t="str">
        <f t="shared" si="9"/>
        <v>TOM JACKSON</v>
      </c>
      <c r="M145" t="str">
        <f t="shared" si="10"/>
        <v>Tom Jackson</v>
      </c>
      <c r="N145" t="str">
        <f t="shared" si="11"/>
        <v>Tom Jackson</v>
      </c>
    </row>
    <row r="146" spans="1:14" x14ac:dyDescent="0.25">
      <c r="A146">
        <v>10604</v>
      </c>
      <c r="B146" t="s">
        <v>69</v>
      </c>
      <c r="C146" t="s">
        <v>18</v>
      </c>
      <c r="D146">
        <v>4.99</v>
      </c>
      <c r="E146">
        <v>200.4</v>
      </c>
      <c r="F146" t="s">
        <v>11</v>
      </c>
      <c r="G146" t="s">
        <v>50</v>
      </c>
      <c r="H146" t="s">
        <v>57</v>
      </c>
      <c r="I146" t="s">
        <v>14</v>
      </c>
      <c r="K146" t="str">
        <f t="shared" si="8"/>
        <v>tom jackson</v>
      </c>
      <c r="L146" t="str">
        <f t="shared" si="9"/>
        <v>TOM JACKSON</v>
      </c>
      <c r="M146" t="str">
        <f t="shared" si="10"/>
        <v>Tom Jackson</v>
      </c>
      <c r="N146" t="str">
        <f t="shared" si="11"/>
        <v>Tom Jackson</v>
      </c>
    </row>
    <row r="147" spans="1:14" x14ac:dyDescent="0.25">
      <c r="A147">
        <v>10605</v>
      </c>
      <c r="B147" t="s">
        <v>70</v>
      </c>
      <c r="C147" t="s">
        <v>23</v>
      </c>
      <c r="D147">
        <v>12.99</v>
      </c>
      <c r="E147">
        <v>538.88</v>
      </c>
      <c r="F147" t="s">
        <v>11</v>
      </c>
      <c r="G147" t="s">
        <v>50</v>
      </c>
      <c r="H147" t="s">
        <v>57</v>
      </c>
      <c r="I147" t="s">
        <v>14</v>
      </c>
      <c r="K147" t="str">
        <f t="shared" si="8"/>
        <v>tom jackson</v>
      </c>
      <c r="L147" t="str">
        <f t="shared" si="9"/>
        <v>TOM JACKSON</v>
      </c>
      <c r="M147" t="str">
        <f t="shared" si="10"/>
        <v>Tom Jackson</v>
      </c>
      <c r="N147" t="str">
        <f t="shared" si="11"/>
        <v>Tom Jackson</v>
      </c>
    </row>
    <row r="148" spans="1:14" x14ac:dyDescent="0.25">
      <c r="A148">
        <v>10606</v>
      </c>
      <c r="B148" t="s">
        <v>70</v>
      </c>
      <c r="C148" t="s">
        <v>27</v>
      </c>
      <c r="D148">
        <v>9.9499999999999993</v>
      </c>
      <c r="E148">
        <v>201.01</v>
      </c>
      <c r="F148" t="s">
        <v>11</v>
      </c>
      <c r="G148" t="s">
        <v>50</v>
      </c>
      <c r="H148" t="s">
        <v>57</v>
      </c>
      <c r="I148" t="s">
        <v>14</v>
      </c>
      <c r="K148" t="str">
        <f t="shared" si="8"/>
        <v>tom jackson</v>
      </c>
      <c r="L148" t="str">
        <f t="shared" si="9"/>
        <v>TOM JACKSON</v>
      </c>
      <c r="M148" t="str">
        <f t="shared" si="10"/>
        <v>Tom Jackson</v>
      </c>
      <c r="N148" t="str">
        <f t="shared" si="11"/>
        <v>Tom Jackson</v>
      </c>
    </row>
    <row r="149" spans="1:14" x14ac:dyDescent="0.25">
      <c r="A149">
        <v>10607</v>
      </c>
      <c r="B149" t="s">
        <v>70</v>
      </c>
      <c r="C149" t="s">
        <v>10</v>
      </c>
      <c r="D149">
        <v>3.49</v>
      </c>
      <c r="E149">
        <v>630.37</v>
      </c>
      <c r="F149" t="s">
        <v>11</v>
      </c>
      <c r="G149" t="s">
        <v>50</v>
      </c>
      <c r="H149" t="s">
        <v>57</v>
      </c>
      <c r="I149" t="s">
        <v>14</v>
      </c>
      <c r="K149" t="str">
        <f t="shared" si="8"/>
        <v>tom jackson</v>
      </c>
      <c r="L149" t="str">
        <f t="shared" si="9"/>
        <v>TOM JACKSON</v>
      </c>
      <c r="M149" t="str">
        <f t="shared" si="10"/>
        <v>Tom Jackson</v>
      </c>
      <c r="N149" t="str">
        <f t="shared" si="11"/>
        <v>Tom Jackson</v>
      </c>
    </row>
    <row r="150" spans="1:14" x14ac:dyDescent="0.25">
      <c r="A150">
        <v>10608</v>
      </c>
      <c r="B150" t="s">
        <v>70</v>
      </c>
      <c r="C150" t="s">
        <v>15</v>
      </c>
      <c r="D150">
        <v>2.95</v>
      </c>
      <c r="E150">
        <v>677.97</v>
      </c>
      <c r="F150" t="s">
        <v>11</v>
      </c>
      <c r="G150" t="s">
        <v>12</v>
      </c>
      <c r="H150" t="s">
        <v>57</v>
      </c>
      <c r="I150" t="s">
        <v>14</v>
      </c>
      <c r="K150" t="str">
        <f t="shared" si="8"/>
        <v>tom jackson</v>
      </c>
      <c r="L150" t="str">
        <f t="shared" si="9"/>
        <v>TOM JACKSON</v>
      </c>
      <c r="M150" t="str">
        <f t="shared" si="10"/>
        <v>Tom Jackson</v>
      </c>
      <c r="N150" t="str">
        <f t="shared" si="11"/>
        <v>Tom Jackson</v>
      </c>
    </row>
    <row r="151" spans="1:14" x14ac:dyDescent="0.25">
      <c r="A151">
        <v>10609</v>
      </c>
      <c r="B151" t="s">
        <v>70</v>
      </c>
      <c r="C151" t="s">
        <v>18</v>
      </c>
      <c r="D151">
        <v>4.99</v>
      </c>
      <c r="E151">
        <v>200.4</v>
      </c>
      <c r="F151" t="s">
        <v>11</v>
      </c>
      <c r="G151" t="s">
        <v>12</v>
      </c>
      <c r="H151" t="s">
        <v>57</v>
      </c>
      <c r="I151" t="s">
        <v>14</v>
      </c>
      <c r="K151" t="str">
        <f t="shared" si="8"/>
        <v>tom jackson</v>
      </c>
      <c r="L151" t="str">
        <f t="shared" si="9"/>
        <v>TOM JACKSON</v>
      </c>
      <c r="M151" t="str">
        <f t="shared" si="10"/>
        <v>Tom Jackson</v>
      </c>
      <c r="N151" t="str">
        <f t="shared" si="11"/>
        <v>Tom Jackson</v>
      </c>
    </row>
    <row r="152" spans="1:14" x14ac:dyDescent="0.25">
      <c r="A152">
        <v>10610</v>
      </c>
      <c r="B152" t="s">
        <v>71</v>
      </c>
      <c r="C152" t="s">
        <v>23</v>
      </c>
      <c r="D152">
        <v>12.99</v>
      </c>
      <c r="E152">
        <v>569.66999999999996</v>
      </c>
      <c r="F152" t="s">
        <v>11</v>
      </c>
      <c r="G152" t="s">
        <v>12</v>
      </c>
      <c r="H152" t="s">
        <v>57</v>
      </c>
      <c r="I152" t="s">
        <v>14</v>
      </c>
      <c r="K152" t="str">
        <f t="shared" si="8"/>
        <v>tom jackson</v>
      </c>
      <c r="L152" t="str">
        <f t="shared" si="9"/>
        <v>TOM JACKSON</v>
      </c>
      <c r="M152" t="str">
        <f t="shared" si="10"/>
        <v>Tom Jackson</v>
      </c>
      <c r="N152" t="str">
        <f t="shared" si="11"/>
        <v>Tom Jackson</v>
      </c>
    </row>
    <row r="153" spans="1:14" x14ac:dyDescent="0.25">
      <c r="A153">
        <v>10611</v>
      </c>
      <c r="B153" t="s">
        <v>71</v>
      </c>
      <c r="C153" t="s">
        <v>27</v>
      </c>
      <c r="D153">
        <v>9.9499999999999993</v>
      </c>
      <c r="E153">
        <v>201.01</v>
      </c>
      <c r="F153" t="s">
        <v>11</v>
      </c>
      <c r="G153" t="s">
        <v>12</v>
      </c>
      <c r="H153" t="s">
        <v>57</v>
      </c>
      <c r="I153" t="s">
        <v>14</v>
      </c>
      <c r="K153" t="str">
        <f t="shared" si="8"/>
        <v>tom jackson</v>
      </c>
      <c r="L153" t="str">
        <f t="shared" si="9"/>
        <v>TOM JACKSON</v>
      </c>
      <c r="M153" t="str">
        <f t="shared" si="10"/>
        <v>Tom Jackson</v>
      </c>
      <c r="N153" t="str">
        <f t="shared" si="11"/>
        <v>Tom Jackson</v>
      </c>
    </row>
    <row r="154" spans="1:14" x14ac:dyDescent="0.25">
      <c r="A154">
        <v>10612</v>
      </c>
      <c r="B154" t="s">
        <v>71</v>
      </c>
      <c r="C154" t="s">
        <v>10</v>
      </c>
      <c r="D154">
        <v>3.49</v>
      </c>
      <c r="E154">
        <v>630.37</v>
      </c>
      <c r="F154" t="s">
        <v>11</v>
      </c>
      <c r="G154" t="s">
        <v>12</v>
      </c>
      <c r="H154" t="s">
        <v>57</v>
      </c>
      <c r="I154" t="s">
        <v>14</v>
      </c>
      <c r="K154" t="str">
        <f t="shared" si="8"/>
        <v>tom jackson</v>
      </c>
      <c r="L154" t="str">
        <f t="shared" si="9"/>
        <v>TOM JACKSON</v>
      </c>
      <c r="M154" t="str">
        <f t="shared" si="10"/>
        <v>Tom Jackson</v>
      </c>
      <c r="N154" t="str">
        <f t="shared" si="11"/>
        <v>Tom Jackson</v>
      </c>
    </row>
    <row r="155" spans="1:14" x14ac:dyDescent="0.25">
      <c r="A155">
        <v>10613</v>
      </c>
      <c r="B155" t="s">
        <v>71</v>
      </c>
      <c r="C155" t="s">
        <v>15</v>
      </c>
      <c r="D155">
        <v>2.95</v>
      </c>
      <c r="E155">
        <v>677.97</v>
      </c>
      <c r="F155" t="s">
        <v>11</v>
      </c>
      <c r="G155" t="s">
        <v>12</v>
      </c>
      <c r="H155" t="s">
        <v>57</v>
      </c>
      <c r="I155" t="s">
        <v>14</v>
      </c>
      <c r="K155" t="str">
        <f t="shared" si="8"/>
        <v>tom jackson</v>
      </c>
      <c r="L155" t="str">
        <f t="shared" si="9"/>
        <v>TOM JACKSON</v>
      </c>
      <c r="M155" t="str">
        <f t="shared" si="10"/>
        <v>Tom Jackson</v>
      </c>
      <c r="N155" t="str">
        <f t="shared" si="11"/>
        <v>Tom Jackson</v>
      </c>
    </row>
    <row r="156" spans="1:14" x14ac:dyDescent="0.25">
      <c r="A156">
        <v>10614</v>
      </c>
      <c r="B156" t="s">
        <v>71</v>
      </c>
      <c r="C156" t="s">
        <v>18</v>
      </c>
      <c r="D156">
        <v>4.99</v>
      </c>
      <c r="E156">
        <v>200.4</v>
      </c>
      <c r="F156" t="s">
        <v>11</v>
      </c>
      <c r="G156" t="s">
        <v>12</v>
      </c>
      <c r="H156" t="s">
        <v>57</v>
      </c>
      <c r="I156" t="s">
        <v>14</v>
      </c>
      <c r="K156" t="str">
        <f t="shared" si="8"/>
        <v>tom jackson</v>
      </c>
      <c r="L156" t="str">
        <f t="shared" si="9"/>
        <v>TOM JACKSON</v>
      </c>
      <c r="M156" t="str">
        <f t="shared" si="10"/>
        <v>Tom Jackson</v>
      </c>
      <c r="N156" t="str">
        <f t="shared" si="11"/>
        <v>Tom Jackson</v>
      </c>
    </row>
    <row r="157" spans="1:14" x14ac:dyDescent="0.25">
      <c r="A157">
        <v>10615</v>
      </c>
      <c r="B157" t="s">
        <v>72</v>
      </c>
      <c r="C157" t="s">
        <v>23</v>
      </c>
      <c r="D157">
        <v>12.99</v>
      </c>
      <c r="E157">
        <v>569.66999999999996</v>
      </c>
      <c r="F157" t="s">
        <v>11</v>
      </c>
      <c r="G157" t="s">
        <v>12</v>
      </c>
      <c r="H157" t="s">
        <v>57</v>
      </c>
      <c r="I157" t="s">
        <v>14</v>
      </c>
      <c r="K157" t="str">
        <f t="shared" si="8"/>
        <v>tom jackson</v>
      </c>
      <c r="L157" t="str">
        <f t="shared" si="9"/>
        <v>TOM JACKSON</v>
      </c>
      <c r="M157" t="str">
        <f t="shared" si="10"/>
        <v>Tom Jackson</v>
      </c>
      <c r="N157" t="str">
        <f t="shared" si="11"/>
        <v>Tom Jackson</v>
      </c>
    </row>
    <row r="158" spans="1:14" x14ac:dyDescent="0.25">
      <c r="A158">
        <v>10616</v>
      </c>
      <c r="B158" t="s">
        <v>72</v>
      </c>
      <c r="C158" t="s">
        <v>27</v>
      </c>
      <c r="D158">
        <v>9.9499999999999993</v>
      </c>
      <c r="E158">
        <v>201.01</v>
      </c>
      <c r="F158" t="s">
        <v>11</v>
      </c>
      <c r="G158" t="s">
        <v>12</v>
      </c>
      <c r="H158" t="s">
        <v>57</v>
      </c>
      <c r="I158" t="s">
        <v>14</v>
      </c>
      <c r="K158" t="str">
        <f t="shared" si="8"/>
        <v>tom jackson</v>
      </c>
      <c r="L158" t="str">
        <f t="shared" si="9"/>
        <v>TOM JACKSON</v>
      </c>
      <c r="M158" t="str">
        <f t="shared" si="10"/>
        <v>Tom Jackson</v>
      </c>
      <c r="N158" t="str">
        <f t="shared" si="11"/>
        <v>Tom Jackson</v>
      </c>
    </row>
    <row r="159" spans="1:14" x14ac:dyDescent="0.25">
      <c r="A159">
        <v>10617</v>
      </c>
      <c r="B159" t="s">
        <v>72</v>
      </c>
      <c r="C159" t="s">
        <v>10</v>
      </c>
      <c r="D159">
        <v>3.49</v>
      </c>
      <c r="E159">
        <v>630.37</v>
      </c>
      <c r="F159" t="s">
        <v>11</v>
      </c>
      <c r="G159" t="s">
        <v>12</v>
      </c>
      <c r="H159" t="s">
        <v>57</v>
      </c>
      <c r="I159" t="s">
        <v>14</v>
      </c>
      <c r="K159" t="str">
        <f t="shared" si="8"/>
        <v>tom jackson</v>
      </c>
      <c r="L159" t="str">
        <f t="shared" si="9"/>
        <v>TOM JACKSON</v>
      </c>
      <c r="M159" t="str">
        <f t="shared" si="10"/>
        <v>Tom Jackson</v>
      </c>
      <c r="N159" t="str">
        <f t="shared" si="11"/>
        <v>Tom Jackson</v>
      </c>
    </row>
    <row r="160" spans="1:14" x14ac:dyDescent="0.25">
      <c r="A160">
        <v>10618</v>
      </c>
      <c r="B160" t="s">
        <v>72</v>
      </c>
      <c r="C160" t="s">
        <v>15</v>
      </c>
      <c r="D160">
        <v>2.95</v>
      </c>
      <c r="E160">
        <v>677.97</v>
      </c>
      <c r="F160" t="s">
        <v>11</v>
      </c>
      <c r="G160" t="s">
        <v>12</v>
      </c>
      <c r="H160" t="s">
        <v>57</v>
      </c>
      <c r="I160" t="s">
        <v>14</v>
      </c>
      <c r="K160" t="str">
        <f t="shared" si="8"/>
        <v>tom jackson</v>
      </c>
      <c r="L160" t="str">
        <f t="shared" si="9"/>
        <v>TOM JACKSON</v>
      </c>
      <c r="M160" t="str">
        <f t="shared" si="10"/>
        <v>Tom Jackson</v>
      </c>
      <c r="N160" t="str">
        <f t="shared" si="11"/>
        <v>Tom Jackson</v>
      </c>
    </row>
    <row r="161" spans="1:14" x14ac:dyDescent="0.25">
      <c r="A161">
        <v>10619</v>
      </c>
      <c r="B161" t="s">
        <v>72</v>
      </c>
      <c r="C161" t="s">
        <v>18</v>
      </c>
      <c r="D161">
        <v>4.99</v>
      </c>
      <c r="E161">
        <v>200.4</v>
      </c>
      <c r="F161" t="s">
        <v>11</v>
      </c>
      <c r="G161" t="s">
        <v>12</v>
      </c>
      <c r="H161" t="s">
        <v>57</v>
      </c>
      <c r="I161" t="s">
        <v>14</v>
      </c>
      <c r="K161" t="str">
        <f t="shared" si="8"/>
        <v>tom jackson</v>
      </c>
      <c r="L161" t="str">
        <f t="shared" si="9"/>
        <v>TOM JACKSON</v>
      </c>
      <c r="M161" t="str">
        <f t="shared" si="10"/>
        <v>Tom Jackson</v>
      </c>
      <c r="N161" t="str">
        <f t="shared" si="11"/>
        <v>Tom Jackson</v>
      </c>
    </row>
    <row r="162" spans="1:14" x14ac:dyDescent="0.25">
      <c r="A162">
        <v>10620</v>
      </c>
      <c r="B162" t="s">
        <v>73</v>
      </c>
      <c r="C162" t="s">
        <v>23</v>
      </c>
      <c r="D162">
        <v>12.99</v>
      </c>
      <c r="E162">
        <v>585.07000000000005</v>
      </c>
      <c r="F162" t="s">
        <v>11</v>
      </c>
      <c r="G162" t="s">
        <v>12</v>
      </c>
      <c r="H162" t="s">
        <v>57</v>
      </c>
      <c r="I162" t="s">
        <v>14</v>
      </c>
      <c r="K162" t="str">
        <f t="shared" si="8"/>
        <v>tom jackson</v>
      </c>
      <c r="L162" t="str">
        <f t="shared" si="9"/>
        <v>TOM JACKSON</v>
      </c>
      <c r="M162" t="str">
        <f t="shared" si="10"/>
        <v>Tom Jackson</v>
      </c>
      <c r="N162" t="str">
        <f t="shared" si="11"/>
        <v>Tom Jackson</v>
      </c>
    </row>
    <row r="163" spans="1:14" x14ac:dyDescent="0.25">
      <c r="A163">
        <v>10621</v>
      </c>
      <c r="B163" t="s">
        <v>73</v>
      </c>
      <c r="C163" t="s">
        <v>27</v>
      </c>
      <c r="D163">
        <v>9.9499999999999993</v>
      </c>
      <c r="E163">
        <v>201.01</v>
      </c>
      <c r="F163" t="s">
        <v>11</v>
      </c>
      <c r="G163" t="s">
        <v>12</v>
      </c>
      <c r="H163" t="s">
        <v>57</v>
      </c>
      <c r="I163" t="s">
        <v>14</v>
      </c>
      <c r="K163" t="str">
        <f t="shared" si="8"/>
        <v>tom jackson</v>
      </c>
      <c r="L163" t="str">
        <f t="shared" si="9"/>
        <v>TOM JACKSON</v>
      </c>
      <c r="M163" t="str">
        <f t="shared" si="10"/>
        <v>Tom Jackson</v>
      </c>
      <c r="N163" t="str">
        <f t="shared" si="11"/>
        <v>Tom Jackson</v>
      </c>
    </row>
    <row r="164" spans="1:14" x14ac:dyDescent="0.25">
      <c r="A164">
        <v>10622</v>
      </c>
      <c r="B164" t="s">
        <v>73</v>
      </c>
      <c r="C164" t="s">
        <v>10</v>
      </c>
      <c r="D164">
        <v>3.49</v>
      </c>
      <c r="E164">
        <v>630.37</v>
      </c>
      <c r="F164" t="s">
        <v>11</v>
      </c>
      <c r="G164" t="s">
        <v>12</v>
      </c>
      <c r="H164" t="s">
        <v>57</v>
      </c>
      <c r="I164" t="s">
        <v>14</v>
      </c>
      <c r="K164" t="str">
        <f t="shared" si="8"/>
        <v>tom jackson</v>
      </c>
      <c r="L164" t="str">
        <f t="shared" si="9"/>
        <v>TOM JACKSON</v>
      </c>
      <c r="M164" t="str">
        <f t="shared" si="10"/>
        <v>Tom Jackson</v>
      </c>
      <c r="N164" t="str">
        <f t="shared" si="11"/>
        <v>Tom Jackson</v>
      </c>
    </row>
    <row r="165" spans="1:14" x14ac:dyDescent="0.25">
      <c r="A165">
        <v>10623</v>
      </c>
      <c r="B165" t="s">
        <v>73</v>
      </c>
      <c r="C165" t="s">
        <v>15</v>
      </c>
      <c r="D165">
        <v>2.95</v>
      </c>
      <c r="E165">
        <v>745.76</v>
      </c>
      <c r="F165" t="s">
        <v>11</v>
      </c>
      <c r="G165" t="s">
        <v>12</v>
      </c>
      <c r="H165" t="s">
        <v>57</v>
      </c>
      <c r="I165" t="s">
        <v>14</v>
      </c>
      <c r="K165" t="str">
        <f t="shared" si="8"/>
        <v>tom jackson</v>
      </c>
      <c r="L165" t="str">
        <f t="shared" si="9"/>
        <v>TOM JACKSON</v>
      </c>
      <c r="M165" t="str">
        <f t="shared" si="10"/>
        <v>Tom Jackson</v>
      </c>
      <c r="N165" t="str">
        <f t="shared" si="11"/>
        <v>Tom Jackson</v>
      </c>
    </row>
    <row r="166" spans="1:14" x14ac:dyDescent="0.25">
      <c r="A166">
        <v>10624</v>
      </c>
      <c r="B166" t="s">
        <v>73</v>
      </c>
      <c r="C166" t="s">
        <v>18</v>
      </c>
      <c r="D166">
        <v>4.99</v>
      </c>
      <c r="E166">
        <v>200.4</v>
      </c>
      <c r="F166" t="s">
        <v>11</v>
      </c>
      <c r="G166" t="s">
        <v>12</v>
      </c>
      <c r="H166" t="s">
        <v>57</v>
      </c>
      <c r="I166" t="s">
        <v>14</v>
      </c>
      <c r="K166" t="str">
        <f t="shared" si="8"/>
        <v>tom jackson</v>
      </c>
      <c r="L166" t="str">
        <f t="shared" si="9"/>
        <v>TOM JACKSON</v>
      </c>
      <c r="M166" t="str">
        <f t="shared" si="10"/>
        <v>Tom Jackson</v>
      </c>
      <c r="N166" t="str">
        <f t="shared" si="11"/>
        <v>Tom Jackson</v>
      </c>
    </row>
    <row r="167" spans="1:14" x14ac:dyDescent="0.25">
      <c r="A167">
        <v>10625</v>
      </c>
      <c r="B167" t="s">
        <v>74</v>
      </c>
      <c r="C167" t="s">
        <v>23</v>
      </c>
      <c r="D167">
        <v>12.99</v>
      </c>
      <c r="E167">
        <v>569.66999999999996</v>
      </c>
      <c r="F167" t="s">
        <v>11</v>
      </c>
      <c r="G167" t="s">
        <v>12</v>
      </c>
      <c r="H167" t="s">
        <v>57</v>
      </c>
      <c r="I167" t="s">
        <v>14</v>
      </c>
      <c r="K167" t="str">
        <f t="shared" si="8"/>
        <v>tom jackson</v>
      </c>
      <c r="L167" t="str">
        <f t="shared" si="9"/>
        <v>TOM JACKSON</v>
      </c>
      <c r="M167" t="str">
        <f t="shared" si="10"/>
        <v>Tom Jackson</v>
      </c>
      <c r="N167" t="str">
        <f t="shared" si="11"/>
        <v>Tom Jackson</v>
      </c>
    </row>
    <row r="168" spans="1:14" x14ac:dyDescent="0.25">
      <c r="A168">
        <v>10626</v>
      </c>
      <c r="B168" t="s">
        <v>74</v>
      </c>
      <c r="C168" t="s">
        <v>27</v>
      </c>
      <c r="D168">
        <v>9.9499999999999993</v>
      </c>
      <c r="E168">
        <v>201.01</v>
      </c>
      <c r="F168" t="s">
        <v>11</v>
      </c>
      <c r="G168" t="s">
        <v>12</v>
      </c>
      <c r="H168" t="s">
        <v>57</v>
      </c>
      <c r="I168" t="s">
        <v>14</v>
      </c>
      <c r="K168" t="str">
        <f t="shared" si="8"/>
        <v>tom jackson</v>
      </c>
      <c r="L168" t="str">
        <f t="shared" si="9"/>
        <v>TOM JACKSON</v>
      </c>
      <c r="M168" t="str">
        <f t="shared" si="10"/>
        <v>Tom Jackson</v>
      </c>
      <c r="N168" t="str">
        <f t="shared" si="11"/>
        <v>Tom Jackson</v>
      </c>
    </row>
    <row r="169" spans="1:14" x14ac:dyDescent="0.25">
      <c r="A169">
        <v>10627</v>
      </c>
      <c r="B169" t="s">
        <v>74</v>
      </c>
      <c r="C169" t="s">
        <v>10</v>
      </c>
      <c r="D169">
        <v>3.49</v>
      </c>
      <c r="E169">
        <v>630.37</v>
      </c>
      <c r="F169" t="s">
        <v>11</v>
      </c>
      <c r="G169" t="s">
        <v>12</v>
      </c>
      <c r="H169" t="s">
        <v>57</v>
      </c>
      <c r="I169" t="s">
        <v>14</v>
      </c>
      <c r="K169" t="str">
        <f t="shared" si="8"/>
        <v>tom jackson</v>
      </c>
      <c r="L169" t="str">
        <f t="shared" si="9"/>
        <v>TOM JACKSON</v>
      </c>
      <c r="M169" t="str">
        <f t="shared" si="10"/>
        <v>Tom Jackson</v>
      </c>
      <c r="N169" t="str">
        <f t="shared" si="11"/>
        <v>Tom Jackson</v>
      </c>
    </row>
    <row r="170" spans="1:14" x14ac:dyDescent="0.25">
      <c r="A170">
        <v>10628</v>
      </c>
      <c r="B170" t="s">
        <v>74</v>
      </c>
      <c r="C170" t="s">
        <v>15</v>
      </c>
      <c r="D170">
        <v>2.95</v>
      </c>
      <c r="E170">
        <v>677.97</v>
      </c>
      <c r="F170" t="s">
        <v>11</v>
      </c>
      <c r="G170" t="s">
        <v>12</v>
      </c>
      <c r="H170" t="s">
        <v>42</v>
      </c>
      <c r="I170" t="s">
        <v>21</v>
      </c>
      <c r="K170" t="str">
        <f t="shared" si="8"/>
        <v>tom jackson</v>
      </c>
      <c r="L170" t="str">
        <f t="shared" si="9"/>
        <v>TOM JACKSON</v>
      </c>
      <c r="M170" t="str">
        <f t="shared" si="10"/>
        <v>Tom Jackson</v>
      </c>
      <c r="N170" t="str">
        <f t="shared" si="11"/>
        <v>Tom Jackson</v>
      </c>
    </row>
    <row r="171" spans="1:14" x14ac:dyDescent="0.25">
      <c r="A171">
        <v>10629</v>
      </c>
      <c r="B171" t="s">
        <v>74</v>
      </c>
      <c r="C171" t="s">
        <v>18</v>
      </c>
      <c r="D171">
        <v>4.99</v>
      </c>
      <c r="E171">
        <v>200.4</v>
      </c>
      <c r="F171" t="s">
        <v>11</v>
      </c>
      <c r="G171" t="s">
        <v>12</v>
      </c>
      <c r="H171" t="s">
        <v>42</v>
      </c>
      <c r="I171" t="s">
        <v>21</v>
      </c>
      <c r="K171" t="str">
        <f t="shared" si="8"/>
        <v>tom jackson</v>
      </c>
      <c r="L171" t="str">
        <f t="shared" si="9"/>
        <v>TOM JACKSON</v>
      </c>
      <c r="M171" t="str">
        <f t="shared" si="10"/>
        <v>Tom Jackson</v>
      </c>
      <c r="N171" t="str">
        <f t="shared" si="11"/>
        <v>Tom Jackson</v>
      </c>
    </row>
    <row r="172" spans="1:14" x14ac:dyDescent="0.25">
      <c r="A172">
        <v>10630</v>
      </c>
      <c r="B172" t="s">
        <v>75</v>
      </c>
      <c r="C172" t="s">
        <v>23</v>
      </c>
      <c r="D172">
        <v>12.99</v>
      </c>
      <c r="E172">
        <v>569.66999999999996</v>
      </c>
      <c r="F172" t="s">
        <v>11</v>
      </c>
      <c r="G172" t="s">
        <v>50</v>
      </c>
      <c r="H172" t="s">
        <v>42</v>
      </c>
      <c r="I172" t="s">
        <v>21</v>
      </c>
      <c r="K172" t="str">
        <f t="shared" si="8"/>
        <v>tom jackson</v>
      </c>
      <c r="L172" t="str">
        <f t="shared" si="9"/>
        <v>TOM JACKSON</v>
      </c>
      <c r="M172" t="str">
        <f t="shared" si="10"/>
        <v>Tom Jackson</v>
      </c>
      <c r="N172" t="str">
        <f t="shared" si="11"/>
        <v>Tom Jackson</v>
      </c>
    </row>
    <row r="173" spans="1:14" x14ac:dyDescent="0.25">
      <c r="A173">
        <v>10631</v>
      </c>
      <c r="B173" t="s">
        <v>75</v>
      </c>
      <c r="C173" t="s">
        <v>27</v>
      </c>
      <c r="D173">
        <v>9.9499999999999993</v>
      </c>
      <c r="E173">
        <v>201.01</v>
      </c>
      <c r="F173" t="s">
        <v>11</v>
      </c>
      <c r="G173" t="s">
        <v>12</v>
      </c>
      <c r="H173" t="s">
        <v>42</v>
      </c>
      <c r="I173" t="s">
        <v>21</v>
      </c>
      <c r="K173" t="str">
        <f t="shared" si="8"/>
        <v>tom jackson</v>
      </c>
      <c r="L173" t="str">
        <f t="shared" si="9"/>
        <v>TOM JACKSON</v>
      </c>
      <c r="M173" t="str">
        <f t="shared" si="10"/>
        <v>Tom Jackson</v>
      </c>
      <c r="N173" t="str">
        <f t="shared" si="11"/>
        <v>Tom Jackson</v>
      </c>
    </row>
    <row r="174" spans="1:14" x14ac:dyDescent="0.25">
      <c r="A174">
        <v>10632</v>
      </c>
      <c r="B174" t="s">
        <v>75</v>
      </c>
      <c r="C174" t="s">
        <v>10</v>
      </c>
      <c r="D174">
        <v>3.49</v>
      </c>
      <c r="E174">
        <v>630.37</v>
      </c>
      <c r="F174" t="s">
        <v>11</v>
      </c>
      <c r="G174" t="s">
        <v>12</v>
      </c>
      <c r="H174" t="s">
        <v>42</v>
      </c>
      <c r="I174" t="s">
        <v>21</v>
      </c>
      <c r="K174" t="str">
        <f t="shared" si="8"/>
        <v>joao silva</v>
      </c>
      <c r="L174" t="str">
        <f t="shared" si="9"/>
        <v>JOAO SILVA</v>
      </c>
      <c r="M174" t="str">
        <f t="shared" si="10"/>
        <v>Joao Silva</v>
      </c>
      <c r="N174" t="str">
        <f t="shared" si="11"/>
        <v>Joao Silva</v>
      </c>
    </row>
    <row r="175" spans="1:14" x14ac:dyDescent="0.25">
      <c r="A175">
        <v>10633</v>
      </c>
      <c r="B175" t="s">
        <v>75</v>
      </c>
      <c r="C175" t="s">
        <v>15</v>
      </c>
      <c r="D175">
        <v>2.95</v>
      </c>
      <c r="E175">
        <v>677.97</v>
      </c>
      <c r="F175" t="s">
        <v>11</v>
      </c>
      <c r="G175" t="s">
        <v>12</v>
      </c>
      <c r="H175" t="s">
        <v>42</v>
      </c>
      <c r="I175" t="s">
        <v>21</v>
      </c>
      <c r="K175" t="str">
        <f t="shared" si="8"/>
        <v>joao silva</v>
      </c>
      <c r="L175" t="str">
        <f t="shared" si="9"/>
        <v>JOAO SILVA</v>
      </c>
      <c r="M175" t="str">
        <f t="shared" si="10"/>
        <v>Joao Silva</v>
      </c>
      <c r="N175" t="str">
        <f t="shared" si="11"/>
        <v>Joao Silva</v>
      </c>
    </row>
    <row r="176" spans="1:14" x14ac:dyDescent="0.25">
      <c r="A176">
        <v>10634</v>
      </c>
      <c r="B176" t="s">
        <v>75</v>
      </c>
      <c r="C176" t="s">
        <v>18</v>
      </c>
      <c r="D176">
        <v>4.99</v>
      </c>
      <c r="E176">
        <v>200.4</v>
      </c>
      <c r="F176" t="s">
        <v>11</v>
      </c>
      <c r="G176" t="s">
        <v>12</v>
      </c>
      <c r="H176" t="s">
        <v>42</v>
      </c>
      <c r="I176" t="s">
        <v>21</v>
      </c>
      <c r="K176" t="str">
        <f t="shared" si="8"/>
        <v>joao silva</v>
      </c>
      <c r="L176" t="str">
        <f t="shared" si="9"/>
        <v>JOAO SILVA</v>
      </c>
      <c r="M176" t="str">
        <f t="shared" si="10"/>
        <v>Joao Silva</v>
      </c>
      <c r="N176" t="str">
        <f t="shared" si="11"/>
        <v>Joao Silva</v>
      </c>
    </row>
    <row r="177" spans="1:14" x14ac:dyDescent="0.25">
      <c r="A177">
        <v>10635</v>
      </c>
      <c r="B177" t="s">
        <v>76</v>
      </c>
      <c r="C177" t="s">
        <v>23</v>
      </c>
      <c r="D177">
        <v>12.99</v>
      </c>
      <c r="E177">
        <v>554.27</v>
      </c>
      <c r="F177" t="s">
        <v>11</v>
      </c>
      <c r="G177" t="s">
        <v>12</v>
      </c>
      <c r="H177" t="s">
        <v>42</v>
      </c>
      <c r="I177" t="s">
        <v>21</v>
      </c>
      <c r="K177" t="str">
        <f t="shared" si="8"/>
        <v>joao silva</v>
      </c>
      <c r="L177" t="str">
        <f t="shared" si="9"/>
        <v>JOAO SILVA</v>
      </c>
      <c r="M177" t="str">
        <f t="shared" si="10"/>
        <v>Joao Silva</v>
      </c>
      <c r="N177" t="str">
        <f t="shared" si="11"/>
        <v>Joao Silva</v>
      </c>
    </row>
    <row r="178" spans="1:14" x14ac:dyDescent="0.25">
      <c r="A178">
        <v>10636</v>
      </c>
      <c r="B178" t="s">
        <v>76</v>
      </c>
      <c r="C178" t="s">
        <v>27</v>
      </c>
      <c r="D178">
        <v>9.9499999999999993</v>
      </c>
      <c r="E178">
        <v>221.11</v>
      </c>
      <c r="F178" t="s">
        <v>11</v>
      </c>
      <c r="G178" t="s">
        <v>12</v>
      </c>
      <c r="H178" t="s">
        <v>42</v>
      </c>
      <c r="I178" t="s">
        <v>21</v>
      </c>
      <c r="K178" t="str">
        <f t="shared" si="8"/>
        <v>joao silva</v>
      </c>
      <c r="L178" t="str">
        <f t="shared" si="9"/>
        <v>JOAO SILVA</v>
      </c>
      <c r="M178" t="str">
        <f t="shared" si="10"/>
        <v>Joao Silva</v>
      </c>
      <c r="N178" t="str">
        <f t="shared" si="11"/>
        <v>Joao Silva</v>
      </c>
    </row>
    <row r="179" spans="1:14" x14ac:dyDescent="0.25">
      <c r="A179">
        <v>10637</v>
      </c>
      <c r="B179" t="s">
        <v>76</v>
      </c>
      <c r="C179" t="s">
        <v>10</v>
      </c>
      <c r="D179">
        <v>3.49</v>
      </c>
      <c r="E179">
        <v>630.37</v>
      </c>
      <c r="F179" t="s">
        <v>11</v>
      </c>
      <c r="G179" t="s">
        <v>12</v>
      </c>
      <c r="H179" t="s">
        <v>42</v>
      </c>
      <c r="I179" t="s">
        <v>21</v>
      </c>
      <c r="K179" t="str">
        <f t="shared" si="8"/>
        <v>joao silva</v>
      </c>
      <c r="L179" t="str">
        <f t="shared" si="9"/>
        <v>JOAO SILVA</v>
      </c>
      <c r="M179" t="str">
        <f t="shared" si="10"/>
        <v>Joao Silva</v>
      </c>
      <c r="N179" t="str">
        <f t="shared" si="11"/>
        <v>Joao Silva</v>
      </c>
    </row>
    <row r="180" spans="1:14" x14ac:dyDescent="0.25">
      <c r="A180">
        <v>10638</v>
      </c>
      <c r="B180" t="s">
        <v>76</v>
      </c>
      <c r="C180" t="s">
        <v>15</v>
      </c>
      <c r="D180">
        <v>2.95</v>
      </c>
      <c r="E180">
        <v>677.97</v>
      </c>
      <c r="F180" t="s">
        <v>11</v>
      </c>
      <c r="G180" t="s">
        <v>12</v>
      </c>
      <c r="H180" t="s">
        <v>42</v>
      </c>
      <c r="I180" t="s">
        <v>21</v>
      </c>
      <c r="K180" t="str">
        <f t="shared" si="8"/>
        <v>joao silva</v>
      </c>
      <c r="L180" t="str">
        <f t="shared" si="9"/>
        <v>JOAO SILVA</v>
      </c>
      <c r="M180" t="str">
        <f t="shared" si="10"/>
        <v>Joao Silva</v>
      </c>
      <c r="N180" t="str">
        <f t="shared" si="11"/>
        <v>Joao Silva</v>
      </c>
    </row>
    <row r="181" spans="1:14" x14ac:dyDescent="0.25">
      <c r="A181">
        <v>10639</v>
      </c>
      <c r="B181" t="s">
        <v>76</v>
      </c>
      <c r="C181" t="s">
        <v>18</v>
      </c>
      <c r="D181">
        <v>4.99</v>
      </c>
      <c r="E181">
        <v>200.4</v>
      </c>
      <c r="F181" t="s">
        <v>11</v>
      </c>
      <c r="G181" t="s">
        <v>12</v>
      </c>
      <c r="H181" t="s">
        <v>42</v>
      </c>
      <c r="I181" t="s">
        <v>21</v>
      </c>
      <c r="K181" t="str">
        <f t="shared" si="8"/>
        <v>joao silva</v>
      </c>
      <c r="L181" t="str">
        <f t="shared" si="9"/>
        <v>JOAO SILVA</v>
      </c>
      <c r="M181" t="str">
        <f t="shared" si="10"/>
        <v>Joao Silva</v>
      </c>
      <c r="N181" t="str">
        <f t="shared" si="11"/>
        <v>Joao Silva</v>
      </c>
    </row>
    <row r="182" spans="1:14" x14ac:dyDescent="0.25">
      <c r="A182">
        <v>10640</v>
      </c>
      <c r="B182" t="s">
        <v>77</v>
      </c>
      <c r="C182" t="s">
        <v>23</v>
      </c>
      <c r="D182">
        <v>12.99</v>
      </c>
      <c r="E182">
        <v>538.88</v>
      </c>
      <c r="F182" t="s">
        <v>11</v>
      </c>
      <c r="G182" t="s">
        <v>12</v>
      </c>
      <c r="H182" t="s">
        <v>42</v>
      </c>
      <c r="I182" t="s">
        <v>21</v>
      </c>
      <c r="K182" t="str">
        <f t="shared" si="8"/>
        <v>joao silva</v>
      </c>
      <c r="L182" t="str">
        <f t="shared" si="9"/>
        <v>JOAO SILVA</v>
      </c>
      <c r="M182" t="str">
        <f t="shared" si="10"/>
        <v>Joao Silva</v>
      </c>
      <c r="N182" t="str">
        <f t="shared" si="11"/>
        <v>Joao Silva</v>
      </c>
    </row>
    <row r="183" spans="1:14" x14ac:dyDescent="0.25">
      <c r="A183">
        <v>10641</v>
      </c>
      <c r="B183" t="s">
        <v>77</v>
      </c>
      <c r="C183" t="s">
        <v>27</v>
      </c>
      <c r="D183">
        <v>9.9499999999999993</v>
      </c>
      <c r="E183">
        <v>221.11</v>
      </c>
      <c r="F183" t="s">
        <v>11</v>
      </c>
      <c r="G183" t="s">
        <v>12</v>
      </c>
      <c r="H183" t="s">
        <v>42</v>
      </c>
      <c r="I183" t="s">
        <v>21</v>
      </c>
      <c r="K183" t="str">
        <f t="shared" si="8"/>
        <v>joao silva</v>
      </c>
      <c r="L183" t="str">
        <f t="shared" si="9"/>
        <v>JOAO SILVA</v>
      </c>
      <c r="M183" t="str">
        <f t="shared" si="10"/>
        <v>Joao Silva</v>
      </c>
      <c r="N183" t="str">
        <f t="shared" si="11"/>
        <v>Joao Silva</v>
      </c>
    </row>
    <row r="184" spans="1:14" x14ac:dyDescent="0.25">
      <c r="A184">
        <v>10642</v>
      </c>
      <c r="B184" t="s">
        <v>77</v>
      </c>
      <c r="C184" t="s">
        <v>10</v>
      </c>
      <c r="D184">
        <v>3.49</v>
      </c>
      <c r="E184">
        <v>630.37</v>
      </c>
      <c r="F184" t="s">
        <v>11</v>
      </c>
      <c r="G184" t="s">
        <v>50</v>
      </c>
      <c r="H184" t="s">
        <v>42</v>
      </c>
      <c r="I184" t="s">
        <v>21</v>
      </c>
      <c r="K184" t="str">
        <f t="shared" si="8"/>
        <v>joao silva</v>
      </c>
      <c r="L184" t="str">
        <f t="shared" si="9"/>
        <v>JOAO SILVA</v>
      </c>
      <c r="M184" t="str">
        <f t="shared" si="10"/>
        <v>Joao Silva</v>
      </c>
      <c r="N184" t="str">
        <f t="shared" si="11"/>
        <v>Joao Silva</v>
      </c>
    </row>
    <row r="185" spans="1:14" x14ac:dyDescent="0.25">
      <c r="A185">
        <v>10643</v>
      </c>
      <c r="B185" t="s">
        <v>77</v>
      </c>
      <c r="C185" t="s">
        <v>15</v>
      </c>
      <c r="D185">
        <v>2.95</v>
      </c>
      <c r="E185">
        <v>677.97</v>
      </c>
      <c r="F185" t="s">
        <v>11</v>
      </c>
      <c r="G185" t="s">
        <v>50</v>
      </c>
      <c r="H185" t="s">
        <v>42</v>
      </c>
      <c r="I185" t="s">
        <v>21</v>
      </c>
      <c r="K185" t="str">
        <f t="shared" si="8"/>
        <v>joao silva</v>
      </c>
      <c r="L185" t="str">
        <f t="shared" si="9"/>
        <v>JOAO SILVA</v>
      </c>
      <c r="M185" t="str">
        <f t="shared" si="10"/>
        <v>Joao Silva</v>
      </c>
      <c r="N185" t="str">
        <f t="shared" si="11"/>
        <v>Joao Silva</v>
      </c>
    </row>
    <row r="186" spans="1:14" x14ac:dyDescent="0.25">
      <c r="A186">
        <v>10644</v>
      </c>
      <c r="B186" t="s">
        <v>77</v>
      </c>
      <c r="C186" t="s">
        <v>18</v>
      </c>
      <c r="D186">
        <v>4.99</v>
      </c>
      <c r="E186">
        <v>200.4</v>
      </c>
      <c r="F186" t="s">
        <v>11</v>
      </c>
      <c r="G186" t="s">
        <v>50</v>
      </c>
      <c r="H186" t="s">
        <v>42</v>
      </c>
      <c r="I186" t="s">
        <v>21</v>
      </c>
      <c r="K186" t="str">
        <f t="shared" si="8"/>
        <v>joao silva</v>
      </c>
      <c r="L186" t="str">
        <f t="shared" si="9"/>
        <v>JOAO SILVA</v>
      </c>
      <c r="M186" t="str">
        <f t="shared" si="10"/>
        <v>Joao Silva</v>
      </c>
      <c r="N186" t="str">
        <f t="shared" si="11"/>
        <v>Joao Silva</v>
      </c>
    </row>
    <row r="187" spans="1:14" x14ac:dyDescent="0.25">
      <c r="A187">
        <v>10645</v>
      </c>
      <c r="B187" t="s">
        <v>78</v>
      </c>
      <c r="C187" t="s">
        <v>23</v>
      </c>
      <c r="D187">
        <v>12.99</v>
      </c>
      <c r="E187">
        <v>569.66999999999996</v>
      </c>
      <c r="F187" t="s">
        <v>11</v>
      </c>
      <c r="G187" t="s">
        <v>50</v>
      </c>
      <c r="H187" t="s">
        <v>42</v>
      </c>
      <c r="I187" t="s">
        <v>21</v>
      </c>
      <c r="K187" t="str">
        <f t="shared" si="8"/>
        <v>joao silva</v>
      </c>
      <c r="L187" t="str">
        <f t="shared" si="9"/>
        <v>JOAO SILVA</v>
      </c>
      <c r="M187" t="str">
        <f t="shared" si="10"/>
        <v>Joao Silva</v>
      </c>
      <c r="N187" t="str">
        <f t="shared" si="11"/>
        <v>Joao Silva</v>
      </c>
    </row>
    <row r="188" spans="1:14" x14ac:dyDescent="0.25">
      <c r="A188">
        <v>10646</v>
      </c>
      <c r="B188" t="s">
        <v>78</v>
      </c>
      <c r="C188" t="s">
        <v>27</v>
      </c>
      <c r="D188">
        <v>9.9499999999999993</v>
      </c>
      <c r="E188">
        <v>221.11</v>
      </c>
      <c r="F188" t="s">
        <v>11</v>
      </c>
      <c r="G188" t="s">
        <v>50</v>
      </c>
      <c r="H188" t="s">
        <v>42</v>
      </c>
      <c r="I188" t="s">
        <v>21</v>
      </c>
      <c r="K188" t="str">
        <f t="shared" si="8"/>
        <v>joao silva</v>
      </c>
      <c r="L188" t="str">
        <f t="shared" si="9"/>
        <v>JOAO SILVA</v>
      </c>
      <c r="M188" t="str">
        <f t="shared" si="10"/>
        <v>Joao Silva</v>
      </c>
      <c r="N188" t="str">
        <f t="shared" si="11"/>
        <v>Joao Silva</v>
      </c>
    </row>
    <row r="189" spans="1:14" x14ac:dyDescent="0.25">
      <c r="A189">
        <v>10647</v>
      </c>
      <c r="B189" t="s">
        <v>78</v>
      </c>
      <c r="C189" t="s">
        <v>10</v>
      </c>
      <c r="D189">
        <v>3.49</v>
      </c>
      <c r="E189">
        <v>630.37</v>
      </c>
      <c r="F189" t="s">
        <v>11</v>
      </c>
      <c r="G189" t="s">
        <v>12</v>
      </c>
      <c r="H189" t="s">
        <v>42</v>
      </c>
      <c r="I189" t="s">
        <v>21</v>
      </c>
      <c r="K189" t="str">
        <f t="shared" si="8"/>
        <v>joao silva</v>
      </c>
      <c r="L189" t="str">
        <f t="shared" si="9"/>
        <v>JOAO SILVA</v>
      </c>
      <c r="M189" t="str">
        <f t="shared" si="10"/>
        <v>Joao Silva</v>
      </c>
      <c r="N189" t="str">
        <f t="shared" si="11"/>
        <v>Joao Silva</v>
      </c>
    </row>
    <row r="190" spans="1:14" x14ac:dyDescent="0.25">
      <c r="A190">
        <v>10648</v>
      </c>
      <c r="B190" t="s">
        <v>78</v>
      </c>
      <c r="C190" t="s">
        <v>15</v>
      </c>
      <c r="D190">
        <v>2.95</v>
      </c>
      <c r="E190">
        <v>745.76</v>
      </c>
      <c r="F190" t="s">
        <v>11</v>
      </c>
      <c r="G190" t="s">
        <v>12</v>
      </c>
      <c r="H190" t="s">
        <v>42</v>
      </c>
      <c r="I190" t="s">
        <v>21</v>
      </c>
      <c r="K190" t="str">
        <f t="shared" si="8"/>
        <v>joao silva</v>
      </c>
      <c r="L190" t="str">
        <f t="shared" si="9"/>
        <v>JOAO SILVA</v>
      </c>
      <c r="M190" t="str">
        <f t="shared" si="10"/>
        <v>Joao Silva</v>
      </c>
      <c r="N190" t="str">
        <f t="shared" si="11"/>
        <v>Joao Silva</v>
      </c>
    </row>
    <row r="191" spans="1:14" x14ac:dyDescent="0.25">
      <c r="A191">
        <v>10649</v>
      </c>
      <c r="B191" t="s">
        <v>78</v>
      </c>
      <c r="C191" t="s">
        <v>18</v>
      </c>
      <c r="D191">
        <v>4.99</v>
      </c>
      <c r="E191">
        <v>200.4</v>
      </c>
      <c r="F191" t="s">
        <v>11</v>
      </c>
      <c r="G191" t="s">
        <v>12</v>
      </c>
      <c r="H191" t="s">
        <v>42</v>
      </c>
      <c r="I191" t="s">
        <v>21</v>
      </c>
      <c r="K191" t="str">
        <f t="shared" si="8"/>
        <v>joao silva</v>
      </c>
      <c r="L191" t="str">
        <f t="shared" si="9"/>
        <v>JOAO SILVA</v>
      </c>
      <c r="M191" t="str">
        <f t="shared" si="10"/>
        <v>Joao Silva</v>
      </c>
      <c r="N191" t="str">
        <f t="shared" si="11"/>
        <v>Joao Silva</v>
      </c>
    </row>
    <row r="192" spans="1:14" x14ac:dyDescent="0.25">
      <c r="A192">
        <v>10650</v>
      </c>
      <c r="B192" t="s">
        <v>79</v>
      </c>
      <c r="C192" t="s">
        <v>23</v>
      </c>
      <c r="D192">
        <v>12.99</v>
      </c>
      <c r="E192">
        <v>585.07000000000005</v>
      </c>
      <c r="F192" t="s">
        <v>11</v>
      </c>
      <c r="G192" t="s">
        <v>12</v>
      </c>
      <c r="H192" t="s">
        <v>42</v>
      </c>
      <c r="I192" t="s">
        <v>21</v>
      </c>
      <c r="K192" t="str">
        <f t="shared" si="8"/>
        <v>joao silva</v>
      </c>
      <c r="L192" t="str">
        <f t="shared" si="9"/>
        <v>JOAO SILVA</v>
      </c>
      <c r="M192" t="str">
        <f t="shared" si="10"/>
        <v>Joao Silva</v>
      </c>
      <c r="N192" t="str">
        <f t="shared" si="11"/>
        <v>Joao Silva</v>
      </c>
    </row>
    <row r="193" spans="1:14" x14ac:dyDescent="0.25">
      <c r="A193">
        <v>10651</v>
      </c>
      <c r="B193" t="s">
        <v>79</v>
      </c>
      <c r="C193" t="s">
        <v>27</v>
      </c>
      <c r="D193">
        <v>9.9499999999999993</v>
      </c>
      <c r="E193">
        <v>221.11</v>
      </c>
      <c r="F193" t="s">
        <v>11</v>
      </c>
      <c r="G193" t="s">
        <v>12</v>
      </c>
      <c r="H193" t="s">
        <v>42</v>
      </c>
      <c r="I193" t="s">
        <v>21</v>
      </c>
      <c r="K193" t="str">
        <f t="shared" si="8"/>
        <v>joao silva</v>
      </c>
      <c r="L193" t="str">
        <f t="shared" si="9"/>
        <v>JOAO SILVA</v>
      </c>
      <c r="M193" t="str">
        <f t="shared" si="10"/>
        <v>Joao Silva</v>
      </c>
      <c r="N193" t="str">
        <f t="shared" si="11"/>
        <v>Joao Silva</v>
      </c>
    </row>
    <row r="194" spans="1:14" x14ac:dyDescent="0.25">
      <c r="A194">
        <v>10652</v>
      </c>
      <c r="B194" t="s">
        <v>79</v>
      </c>
      <c r="C194" t="s">
        <v>10</v>
      </c>
      <c r="D194">
        <v>3.49</v>
      </c>
      <c r="E194">
        <v>687.68</v>
      </c>
      <c r="F194" t="s">
        <v>11</v>
      </c>
      <c r="G194" t="s">
        <v>12</v>
      </c>
      <c r="H194" t="s">
        <v>42</v>
      </c>
      <c r="I194" t="s">
        <v>21</v>
      </c>
      <c r="K194" t="str">
        <f t="shared" si="8"/>
        <v>joao silva</v>
      </c>
      <c r="L194" t="str">
        <f t="shared" si="9"/>
        <v>JOAO SILVA</v>
      </c>
      <c r="M194" t="str">
        <f t="shared" si="10"/>
        <v>Joao Silva</v>
      </c>
      <c r="N194" t="str">
        <f t="shared" si="11"/>
        <v>Joao Silva</v>
      </c>
    </row>
    <row r="195" spans="1:14" x14ac:dyDescent="0.25">
      <c r="A195">
        <v>10653</v>
      </c>
      <c r="B195" t="s">
        <v>79</v>
      </c>
      <c r="C195" t="s">
        <v>15</v>
      </c>
      <c r="D195">
        <v>2.95</v>
      </c>
      <c r="E195">
        <v>745.76</v>
      </c>
      <c r="F195" t="s">
        <v>11</v>
      </c>
      <c r="G195" t="s">
        <v>12</v>
      </c>
      <c r="H195" t="s">
        <v>42</v>
      </c>
      <c r="I195" t="s">
        <v>21</v>
      </c>
      <c r="K195" t="str">
        <f t="shared" si="8"/>
        <v>joao silva</v>
      </c>
      <c r="L195" t="str">
        <f t="shared" si="9"/>
        <v>JOAO SILVA</v>
      </c>
      <c r="M195" t="str">
        <f t="shared" si="10"/>
        <v>Joao Silva</v>
      </c>
      <c r="N195" t="str">
        <f t="shared" si="11"/>
        <v>Joao Silva</v>
      </c>
    </row>
    <row r="196" spans="1:14" x14ac:dyDescent="0.25">
      <c r="A196">
        <v>10654</v>
      </c>
      <c r="B196" t="s">
        <v>79</v>
      </c>
      <c r="C196" t="s">
        <v>18</v>
      </c>
      <c r="D196">
        <v>4.99</v>
      </c>
      <c r="E196">
        <v>200.4</v>
      </c>
      <c r="F196" t="s">
        <v>11</v>
      </c>
      <c r="G196" t="s">
        <v>12</v>
      </c>
      <c r="H196" t="s">
        <v>42</v>
      </c>
      <c r="I196" t="s">
        <v>21</v>
      </c>
      <c r="K196" t="str">
        <f t="shared" si="8"/>
        <v>joao silva</v>
      </c>
      <c r="L196" t="str">
        <f t="shared" si="9"/>
        <v>JOAO SILVA</v>
      </c>
      <c r="M196" t="str">
        <f t="shared" si="10"/>
        <v>Joao Silva</v>
      </c>
      <c r="N196" t="str">
        <f t="shared" si="11"/>
        <v>Joao Silva</v>
      </c>
    </row>
    <row r="197" spans="1:14" x14ac:dyDescent="0.25">
      <c r="A197">
        <v>10655</v>
      </c>
      <c r="B197" t="s">
        <v>80</v>
      </c>
      <c r="C197" t="s">
        <v>23</v>
      </c>
      <c r="D197">
        <v>12.99</v>
      </c>
      <c r="E197">
        <v>600.46</v>
      </c>
      <c r="F197" t="s">
        <v>11</v>
      </c>
      <c r="G197" t="s">
        <v>12</v>
      </c>
      <c r="H197" t="s">
        <v>42</v>
      </c>
      <c r="I197" t="s">
        <v>21</v>
      </c>
      <c r="K197" t="str">
        <f t="shared" si="8"/>
        <v>joao silva</v>
      </c>
      <c r="L197" t="str">
        <f t="shared" si="9"/>
        <v>JOAO SILVA</v>
      </c>
      <c r="M197" t="str">
        <f t="shared" si="10"/>
        <v>Joao Silva</v>
      </c>
      <c r="N197" t="str">
        <f t="shared" si="11"/>
        <v>Joao Silva</v>
      </c>
    </row>
    <row r="198" spans="1:14" x14ac:dyDescent="0.25">
      <c r="A198">
        <v>10656</v>
      </c>
      <c r="B198" t="s">
        <v>80</v>
      </c>
      <c r="C198" t="s">
        <v>27</v>
      </c>
      <c r="D198">
        <v>9.9499999999999993</v>
      </c>
      <c r="E198">
        <v>221.11</v>
      </c>
      <c r="F198" t="s">
        <v>11</v>
      </c>
      <c r="G198" t="s">
        <v>12</v>
      </c>
      <c r="H198" t="s">
        <v>42</v>
      </c>
      <c r="I198" t="s">
        <v>21</v>
      </c>
      <c r="K198" t="str">
        <f t="shared" si="8"/>
        <v>joao silva</v>
      </c>
      <c r="L198" t="str">
        <f t="shared" si="9"/>
        <v>JOAO SILVA</v>
      </c>
      <c r="M198" t="str">
        <f t="shared" si="10"/>
        <v>Joao Silva</v>
      </c>
      <c r="N198" t="str">
        <f t="shared" si="11"/>
        <v>Joao Silva</v>
      </c>
    </row>
    <row r="199" spans="1:14" x14ac:dyDescent="0.25">
      <c r="A199">
        <v>10657</v>
      </c>
      <c r="B199" t="s">
        <v>80</v>
      </c>
      <c r="C199" t="s">
        <v>10</v>
      </c>
      <c r="D199">
        <v>3.49</v>
      </c>
      <c r="E199">
        <v>687.68</v>
      </c>
      <c r="F199" t="s">
        <v>11</v>
      </c>
      <c r="G199" t="s">
        <v>12</v>
      </c>
      <c r="H199" t="s">
        <v>42</v>
      </c>
      <c r="I199" t="s">
        <v>21</v>
      </c>
      <c r="K199" t="str">
        <f t="shared" ref="K199:K259" si="12">LOWER(H195)</f>
        <v>joao silva</v>
      </c>
      <c r="L199" t="str">
        <f t="shared" ref="L199:L259" si="13">UPPER(H195)</f>
        <v>JOAO SILVA</v>
      </c>
      <c r="M199" t="str">
        <f t="shared" ref="M199:M259" si="14">TRIM(H195)</f>
        <v>Joao Silva</v>
      </c>
      <c r="N199" t="str">
        <f t="shared" ref="N199:N259" si="15">TRIM(PROPER(H195))</f>
        <v>Joao Silva</v>
      </c>
    </row>
    <row r="200" spans="1:14" x14ac:dyDescent="0.25">
      <c r="A200">
        <v>10658</v>
      </c>
      <c r="B200" t="s">
        <v>80</v>
      </c>
      <c r="C200" t="s">
        <v>15</v>
      </c>
      <c r="D200">
        <v>2.95</v>
      </c>
      <c r="E200">
        <v>745.76</v>
      </c>
      <c r="F200" t="s">
        <v>11</v>
      </c>
      <c r="G200" t="s">
        <v>50</v>
      </c>
      <c r="H200" t="s">
        <v>42</v>
      </c>
      <c r="I200" t="s">
        <v>21</v>
      </c>
      <c r="K200" t="str">
        <f t="shared" si="12"/>
        <v>joao silva</v>
      </c>
      <c r="L200" t="str">
        <f t="shared" si="13"/>
        <v>JOAO SILVA</v>
      </c>
      <c r="M200" t="str">
        <f t="shared" si="14"/>
        <v>Joao Silva</v>
      </c>
      <c r="N200" t="str">
        <f t="shared" si="15"/>
        <v>Joao Silva</v>
      </c>
    </row>
    <row r="201" spans="1:14" x14ac:dyDescent="0.25">
      <c r="A201">
        <v>10659</v>
      </c>
      <c r="B201" t="s">
        <v>80</v>
      </c>
      <c r="C201" t="s">
        <v>18</v>
      </c>
      <c r="D201">
        <v>4.99</v>
      </c>
      <c r="E201">
        <v>200.4</v>
      </c>
      <c r="F201" t="s">
        <v>11</v>
      </c>
      <c r="G201" t="s">
        <v>50</v>
      </c>
      <c r="H201" t="s">
        <v>42</v>
      </c>
      <c r="I201" t="s">
        <v>21</v>
      </c>
      <c r="K201" t="str">
        <f t="shared" si="12"/>
        <v>joao silva</v>
      </c>
      <c r="L201" t="str">
        <f t="shared" si="13"/>
        <v>JOAO SILVA</v>
      </c>
      <c r="M201" t="str">
        <f t="shared" si="14"/>
        <v>Joao Silva</v>
      </c>
      <c r="N201" t="str">
        <f t="shared" si="15"/>
        <v>Joao Silva</v>
      </c>
    </row>
    <row r="202" spans="1:14" x14ac:dyDescent="0.25">
      <c r="A202">
        <v>10660</v>
      </c>
      <c r="B202" t="s">
        <v>81</v>
      </c>
      <c r="C202" t="s">
        <v>23</v>
      </c>
      <c r="D202">
        <v>12.99</v>
      </c>
      <c r="E202">
        <v>631.25</v>
      </c>
      <c r="F202" t="s">
        <v>19</v>
      </c>
      <c r="G202" t="s">
        <v>50</v>
      </c>
      <c r="H202" t="s">
        <v>42</v>
      </c>
      <c r="I202" t="s">
        <v>21</v>
      </c>
      <c r="K202" t="str">
        <f t="shared" si="12"/>
        <v>joao silva</v>
      </c>
      <c r="L202" t="str">
        <f t="shared" si="13"/>
        <v>JOAO SILVA</v>
      </c>
      <c r="M202" t="str">
        <f t="shared" si="14"/>
        <v>Joao Silva</v>
      </c>
      <c r="N202" t="str">
        <f t="shared" si="15"/>
        <v>Joao Silva</v>
      </c>
    </row>
    <row r="203" spans="1:14" x14ac:dyDescent="0.25">
      <c r="A203">
        <v>10661</v>
      </c>
      <c r="B203" t="s">
        <v>81</v>
      </c>
      <c r="C203" t="s">
        <v>27</v>
      </c>
      <c r="D203">
        <v>9.9499999999999993</v>
      </c>
      <c r="E203">
        <v>221.11</v>
      </c>
      <c r="F203" t="s">
        <v>19</v>
      </c>
      <c r="G203" t="s">
        <v>50</v>
      </c>
      <c r="H203" t="s">
        <v>42</v>
      </c>
      <c r="I203" t="s">
        <v>21</v>
      </c>
      <c r="K203" t="str">
        <f t="shared" si="12"/>
        <v>joao silva</v>
      </c>
      <c r="L203" t="str">
        <f t="shared" si="13"/>
        <v>JOAO SILVA</v>
      </c>
      <c r="M203" t="str">
        <f t="shared" si="14"/>
        <v>Joao Silva</v>
      </c>
      <c r="N203" t="str">
        <f t="shared" si="15"/>
        <v>Joao Silva</v>
      </c>
    </row>
    <row r="204" spans="1:14" x14ac:dyDescent="0.25">
      <c r="A204">
        <v>10662</v>
      </c>
      <c r="B204" t="s">
        <v>81</v>
      </c>
      <c r="C204" t="s">
        <v>10</v>
      </c>
      <c r="D204">
        <v>3.49</v>
      </c>
      <c r="E204">
        <v>630.37</v>
      </c>
      <c r="F204" t="s">
        <v>19</v>
      </c>
      <c r="G204" t="s">
        <v>50</v>
      </c>
      <c r="H204" t="s">
        <v>42</v>
      </c>
      <c r="I204" t="s">
        <v>21</v>
      </c>
      <c r="K204" t="str">
        <f t="shared" si="12"/>
        <v>joao silva</v>
      </c>
      <c r="L204" t="str">
        <f t="shared" si="13"/>
        <v>JOAO SILVA</v>
      </c>
      <c r="M204" t="str">
        <f t="shared" si="14"/>
        <v>Joao Silva</v>
      </c>
      <c r="N204" t="str">
        <f t="shared" si="15"/>
        <v>Joao Silva</v>
      </c>
    </row>
    <row r="205" spans="1:14" x14ac:dyDescent="0.25">
      <c r="A205">
        <v>10663</v>
      </c>
      <c r="B205" t="s">
        <v>81</v>
      </c>
      <c r="C205" t="s">
        <v>15</v>
      </c>
      <c r="D205">
        <v>2.95</v>
      </c>
      <c r="E205">
        <v>745.76</v>
      </c>
      <c r="F205" t="s">
        <v>19</v>
      </c>
      <c r="G205" t="s">
        <v>50</v>
      </c>
      <c r="H205" t="s">
        <v>42</v>
      </c>
      <c r="I205" t="s">
        <v>21</v>
      </c>
      <c r="K205" t="str">
        <f t="shared" si="12"/>
        <v>joao silva</v>
      </c>
      <c r="L205" t="str">
        <f t="shared" si="13"/>
        <v>JOAO SILVA</v>
      </c>
      <c r="M205" t="str">
        <f t="shared" si="14"/>
        <v>Joao Silva</v>
      </c>
      <c r="N205" t="str">
        <f t="shared" si="15"/>
        <v>Joao Silva</v>
      </c>
    </row>
    <row r="206" spans="1:14" x14ac:dyDescent="0.25">
      <c r="A206">
        <v>10664</v>
      </c>
      <c r="B206" t="s">
        <v>81</v>
      </c>
      <c r="C206" t="s">
        <v>18</v>
      </c>
      <c r="D206">
        <v>4.99</v>
      </c>
      <c r="E206">
        <v>200.4</v>
      </c>
      <c r="F206" t="s">
        <v>19</v>
      </c>
      <c r="G206" t="s">
        <v>50</v>
      </c>
      <c r="H206" t="s">
        <v>42</v>
      </c>
      <c r="I206" t="s">
        <v>21</v>
      </c>
      <c r="K206" t="str">
        <f t="shared" si="12"/>
        <v>joao silva</v>
      </c>
      <c r="L206" t="str">
        <f t="shared" si="13"/>
        <v>JOAO SILVA</v>
      </c>
      <c r="M206" t="str">
        <f t="shared" si="14"/>
        <v>Joao Silva</v>
      </c>
      <c r="N206" t="str">
        <f t="shared" si="15"/>
        <v>Joao Silva</v>
      </c>
    </row>
    <row r="207" spans="1:14" x14ac:dyDescent="0.25">
      <c r="A207">
        <v>10665</v>
      </c>
      <c r="B207" t="s">
        <v>82</v>
      </c>
      <c r="C207" t="s">
        <v>23</v>
      </c>
      <c r="D207">
        <v>12.99</v>
      </c>
      <c r="E207">
        <v>646.65</v>
      </c>
      <c r="F207" t="s">
        <v>19</v>
      </c>
      <c r="G207" t="s">
        <v>50</v>
      </c>
      <c r="H207" t="s">
        <v>42</v>
      </c>
      <c r="I207" t="s">
        <v>21</v>
      </c>
      <c r="K207" t="str">
        <f t="shared" si="12"/>
        <v>joao silva</v>
      </c>
      <c r="L207" t="str">
        <f t="shared" si="13"/>
        <v>JOAO SILVA</v>
      </c>
      <c r="M207" t="str">
        <f t="shared" si="14"/>
        <v>Joao Silva</v>
      </c>
      <c r="N207" t="str">
        <f t="shared" si="15"/>
        <v>Joao Silva</v>
      </c>
    </row>
    <row r="208" spans="1:14" x14ac:dyDescent="0.25">
      <c r="A208">
        <v>10666</v>
      </c>
      <c r="B208" t="s">
        <v>82</v>
      </c>
      <c r="C208" t="s">
        <v>27</v>
      </c>
      <c r="D208">
        <v>9.9499999999999993</v>
      </c>
      <c r="E208">
        <v>221.11</v>
      </c>
      <c r="F208" t="s">
        <v>19</v>
      </c>
      <c r="G208" t="s">
        <v>50</v>
      </c>
      <c r="H208" t="s">
        <v>42</v>
      </c>
      <c r="I208" t="s">
        <v>21</v>
      </c>
      <c r="K208" t="str">
        <f t="shared" si="12"/>
        <v>joao silva</v>
      </c>
      <c r="L208" t="str">
        <f t="shared" si="13"/>
        <v>JOAO SILVA</v>
      </c>
      <c r="M208" t="str">
        <f t="shared" si="14"/>
        <v>Joao Silva</v>
      </c>
      <c r="N208" t="str">
        <f t="shared" si="15"/>
        <v>Joao Silva</v>
      </c>
    </row>
    <row r="209" spans="1:14" x14ac:dyDescent="0.25">
      <c r="A209">
        <v>10667</v>
      </c>
      <c r="B209" t="s">
        <v>82</v>
      </c>
      <c r="C209" t="s">
        <v>10</v>
      </c>
      <c r="D209">
        <v>3.49</v>
      </c>
      <c r="E209">
        <v>630.37</v>
      </c>
      <c r="F209" t="s">
        <v>19</v>
      </c>
      <c r="G209" t="s">
        <v>50</v>
      </c>
      <c r="H209" t="s">
        <v>42</v>
      </c>
      <c r="I209" t="s">
        <v>21</v>
      </c>
      <c r="K209" t="str">
        <f t="shared" si="12"/>
        <v>joao silva</v>
      </c>
      <c r="L209" t="str">
        <f t="shared" si="13"/>
        <v>JOAO SILVA</v>
      </c>
      <c r="M209" t="str">
        <f t="shared" si="14"/>
        <v>Joao Silva</v>
      </c>
      <c r="N209" t="str">
        <f t="shared" si="15"/>
        <v>Joao Silva</v>
      </c>
    </row>
    <row r="210" spans="1:14" x14ac:dyDescent="0.25">
      <c r="A210">
        <v>10668</v>
      </c>
      <c r="B210" t="s">
        <v>82</v>
      </c>
      <c r="C210" t="s">
        <v>15</v>
      </c>
      <c r="D210">
        <v>2.95</v>
      </c>
      <c r="E210">
        <v>745.76</v>
      </c>
      <c r="F210" t="s">
        <v>19</v>
      </c>
      <c r="G210" t="s">
        <v>50</v>
      </c>
      <c r="H210" t="s">
        <v>42</v>
      </c>
      <c r="I210" t="s">
        <v>21</v>
      </c>
      <c r="K210" t="str">
        <f t="shared" si="12"/>
        <v>joao silva</v>
      </c>
      <c r="L210" t="str">
        <f t="shared" si="13"/>
        <v>JOAO SILVA</v>
      </c>
      <c r="M210" t="str">
        <f t="shared" si="14"/>
        <v>Joao Silva</v>
      </c>
      <c r="N210" t="str">
        <f t="shared" si="15"/>
        <v>Joao Silva</v>
      </c>
    </row>
    <row r="211" spans="1:14" x14ac:dyDescent="0.25">
      <c r="A211">
        <v>10669</v>
      </c>
      <c r="B211" t="s">
        <v>82</v>
      </c>
      <c r="C211" t="s">
        <v>18</v>
      </c>
      <c r="D211">
        <v>4.99</v>
      </c>
      <c r="E211">
        <v>200.4</v>
      </c>
      <c r="F211" t="s">
        <v>19</v>
      </c>
      <c r="G211" t="s">
        <v>50</v>
      </c>
      <c r="H211" t="s">
        <v>42</v>
      </c>
      <c r="I211" t="s">
        <v>21</v>
      </c>
      <c r="K211" t="str">
        <f t="shared" si="12"/>
        <v>joao silva</v>
      </c>
      <c r="L211" t="str">
        <f t="shared" si="13"/>
        <v>JOAO SILVA</v>
      </c>
      <c r="M211" t="str">
        <f t="shared" si="14"/>
        <v>Joao Silva</v>
      </c>
      <c r="N211" t="str">
        <f t="shared" si="15"/>
        <v>Joao Silva</v>
      </c>
    </row>
    <row r="212" spans="1:14" x14ac:dyDescent="0.25">
      <c r="A212">
        <v>10670</v>
      </c>
      <c r="B212" t="s">
        <v>83</v>
      </c>
      <c r="C212" t="s">
        <v>23</v>
      </c>
      <c r="D212">
        <v>12.99</v>
      </c>
      <c r="E212">
        <v>677.44</v>
      </c>
      <c r="F212" t="s">
        <v>19</v>
      </c>
      <c r="G212" t="s">
        <v>50</v>
      </c>
      <c r="H212" t="s">
        <v>42</v>
      </c>
      <c r="I212" t="s">
        <v>21</v>
      </c>
      <c r="K212" t="str">
        <f t="shared" si="12"/>
        <v>joao silva</v>
      </c>
      <c r="L212" t="str">
        <f t="shared" si="13"/>
        <v>JOAO SILVA</v>
      </c>
      <c r="M212" t="str">
        <f t="shared" si="14"/>
        <v>Joao Silva</v>
      </c>
      <c r="N212" t="str">
        <f t="shared" si="15"/>
        <v>Joao Silva</v>
      </c>
    </row>
    <row r="213" spans="1:14" x14ac:dyDescent="0.25">
      <c r="A213">
        <v>10671</v>
      </c>
      <c r="B213" t="s">
        <v>83</v>
      </c>
      <c r="C213" t="s">
        <v>27</v>
      </c>
      <c r="D213">
        <v>9.9499999999999993</v>
      </c>
      <c r="E213">
        <v>221.11</v>
      </c>
      <c r="F213" t="s">
        <v>19</v>
      </c>
      <c r="G213" t="s">
        <v>50</v>
      </c>
      <c r="H213" t="s">
        <v>42</v>
      </c>
      <c r="I213" t="s">
        <v>21</v>
      </c>
      <c r="K213" t="str">
        <f t="shared" si="12"/>
        <v>joao silva</v>
      </c>
      <c r="L213" t="str">
        <f t="shared" si="13"/>
        <v>JOAO SILVA</v>
      </c>
      <c r="M213" t="str">
        <f t="shared" si="14"/>
        <v>Joao Silva</v>
      </c>
      <c r="N213" t="str">
        <f t="shared" si="15"/>
        <v>Joao Silva</v>
      </c>
    </row>
    <row r="214" spans="1:14" x14ac:dyDescent="0.25">
      <c r="A214">
        <v>10672</v>
      </c>
      <c r="B214" t="s">
        <v>83</v>
      </c>
      <c r="C214" t="s">
        <v>10</v>
      </c>
      <c r="D214">
        <v>3.49</v>
      </c>
      <c r="E214">
        <v>630.37</v>
      </c>
      <c r="F214" t="s">
        <v>19</v>
      </c>
      <c r="G214" t="s">
        <v>50</v>
      </c>
      <c r="H214" t="s">
        <v>42</v>
      </c>
      <c r="I214" t="s">
        <v>21</v>
      </c>
      <c r="K214" t="str">
        <f t="shared" si="12"/>
        <v>joao silva</v>
      </c>
      <c r="L214" t="str">
        <f t="shared" si="13"/>
        <v>JOAO SILVA</v>
      </c>
      <c r="M214" t="str">
        <f t="shared" si="14"/>
        <v>Joao Silva</v>
      </c>
      <c r="N214" t="str">
        <f t="shared" si="15"/>
        <v>Joao Silva</v>
      </c>
    </row>
    <row r="215" spans="1:14" x14ac:dyDescent="0.25">
      <c r="A215">
        <v>10673</v>
      </c>
      <c r="B215" t="s">
        <v>83</v>
      </c>
      <c r="C215" t="s">
        <v>15</v>
      </c>
      <c r="D215">
        <v>2.95</v>
      </c>
      <c r="E215">
        <v>745.76</v>
      </c>
      <c r="F215" t="s">
        <v>19</v>
      </c>
      <c r="G215" t="s">
        <v>50</v>
      </c>
      <c r="H215" t="s">
        <v>42</v>
      </c>
      <c r="I215" t="s">
        <v>21</v>
      </c>
      <c r="K215" t="str">
        <f t="shared" si="12"/>
        <v>joao silva</v>
      </c>
      <c r="L215" t="str">
        <f t="shared" si="13"/>
        <v>JOAO SILVA</v>
      </c>
      <c r="M215" t="str">
        <f t="shared" si="14"/>
        <v>Joao Silva</v>
      </c>
      <c r="N215" t="str">
        <f t="shared" si="15"/>
        <v>Joao Silva</v>
      </c>
    </row>
    <row r="216" spans="1:14" x14ac:dyDescent="0.25">
      <c r="A216">
        <v>10674</v>
      </c>
      <c r="B216" t="s">
        <v>83</v>
      </c>
      <c r="C216" t="s">
        <v>18</v>
      </c>
      <c r="D216">
        <v>4.99</v>
      </c>
      <c r="E216">
        <v>200.4</v>
      </c>
      <c r="F216" t="s">
        <v>19</v>
      </c>
      <c r="G216" t="s">
        <v>50</v>
      </c>
      <c r="H216" t="s">
        <v>42</v>
      </c>
      <c r="I216" t="s">
        <v>21</v>
      </c>
      <c r="K216" t="str">
        <f t="shared" si="12"/>
        <v>joao silva</v>
      </c>
      <c r="L216" t="str">
        <f t="shared" si="13"/>
        <v>JOAO SILVA</v>
      </c>
      <c r="M216" t="str">
        <f t="shared" si="14"/>
        <v>Joao Silva</v>
      </c>
      <c r="N216" t="str">
        <f t="shared" si="15"/>
        <v>Joao Silva</v>
      </c>
    </row>
    <row r="217" spans="1:14" x14ac:dyDescent="0.25">
      <c r="A217">
        <v>10675</v>
      </c>
      <c r="B217" t="s">
        <v>84</v>
      </c>
      <c r="C217" t="s">
        <v>23</v>
      </c>
      <c r="D217">
        <v>12.99</v>
      </c>
      <c r="E217">
        <v>677.44</v>
      </c>
      <c r="F217" t="s">
        <v>19</v>
      </c>
      <c r="G217" t="s">
        <v>50</v>
      </c>
      <c r="H217" t="s">
        <v>42</v>
      </c>
      <c r="I217" t="s">
        <v>21</v>
      </c>
      <c r="K217" t="str">
        <f t="shared" si="12"/>
        <v>joao silva</v>
      </c>
      <c r="L217" t="str">
        <f t="shared" si="13"/>
        <v>JOAO SILVA</v>
      </c>
      <c r="M217" t="str">
        <f t="shared" si="14"/>
        <v>Joao Silva</v>
      </c>
      <c r="N217" t="str">
        <f t="shared" si="15"/>
        <v>Joao Silva</v>
      </c>
    </row>
    <row r="218" spans="1:14" x14ac:dyDescent="0.25">
      <c r="A218">
        <v>10676</v>
      </c>
      <c r="B218" t="s">
        <v>84</v>
      </c>
      <c r="C218" t="s">
        <v>27</v>
      </c>
      <c r="D218">
        <v>9.9499999999999993</v>
      </c>
      <c r="E218">
        <v>241.21</v>
      </c>
      <c r="F218" t="s">
        <v>19</v>
      </c>
      <c r="G218" t="s">
        <v>50</v>
      </c>
      <c r="H218" t="s">
        <v>42</v>
      </c>
      <c r="I218" t="s">
        <v>21</v>
      </c>
      <c r="K218" t="str">
        <f t="shared" si="12"/>
        <v>joao silva</v>
      </c>
      <c r="L218" t="str">
        <f t="shared" si="13"/>
        <v>JOAO SILVA</v>
      </c>
      <c r="M218" t="str">
        <f t="shared" si="14"/>
        <v>Joao Silva</v>
      </c>
      <c r="N218" t="str">
        <f t="shared" si="15"/>
        <v>Joao Silva</v>
      </c>
    </row>
    <row r="219" spans="1:14" x14ac:dyDescent="0.25">
      <c r="A219">
        <v>10677</v>
      </c>
      <c r="B219" t="s">
        <v>84</v>
      </c>
      <c r="C219" t="s">
        <v>10</v>
      </c>
      <c r="D219">
        <v>3.49</v>
      </c>
      <c r="E219">
        <v>630.37</v>
      </c>
      <c r="F219" t="s">
        <v>19</v>
      </c>
      <c r="G219" t="s">
        <v>50</v>
      </c>
      <c r="H219" t="s">
        <v>42</v>
      </c>
      <c r="I219" t="s">
        <v>21</v>
      </c>
      <c r="K219" t="str">
        <f t="shared" si="12"/>
        <v>joao silva</v>
      </c>
      <c r="L219" t="str">
        <f t="shared" si="13"/>
        <v>JOAO SILVA</v>
      </c>
      <c r="M219" t="str">
        <f t="shared" si="14"/>
        <v>Joao Silva</v>
      </c>
      <c r="N219" t="str">
        <f t="shared" si="15"/>
        <v>Joao Silva</v>
      </c>
    </row>
    <row r="220" spans="1:14" x14ac:dyDescent="0.25">
      <c r="A220">
        <v>10678</v>
      </c>
      <c r="B220" t="s">
        <v>84</v>
      </c>
      <c r="C220" t="s">
        <v>15</v>
      </c>
      <c r="D220">
        <v>2.95</v>
      </c>
      <c r="E220">
        <v>745.76</v>
      </c>
      <c r="F220" t="s">
        <v>19</v>
      </c>
      <c r="G220" t="s">
        <v>50</v>
      </c>
      <c r="H220" t="s">
        <v>42</v>
      </c>
      <c r="I220" t="s">
        <v>21</v>
      </c>
      <c r="K220" t="str">
        <f t="shared" si="12"/>
        <v>joao silva</v>
      </c>
      <c r="L220" t="str">
        <f t="shared" si="13"/>
        <v>JOAO SILVA</v>
      </c>
      <c r="M220" t="str">
        <f t="shared" si="14"/>
        <v>Joao Silva</v>
      </c>
      <c r="N220" t="str">
        <f t="shared" si="15"/>
        <v>Joao Silva</v>
      </c>
    </row>
    <row r="221" spans="1:14" x14ac:dyDescent="0.25">
      <c r="A221">
        <v>10679</v>
      </c>
      <c r="B221" t="s">
        <v>84</v>
      </c>
      <c r="C221" t="s">
        <v>18</v>
      </c>
      <c r="D221">
        <v>4.99</v>
      </c>
      <c r="E221">
        <v>200.4</v>
      </c>
      <c r="F221" t="s">
        <v>19</v>
      </c>
      <c r="G221" t="s">
        <v>50</v>
      </c>
      <c r="H221" t="s">
        <v>42</v>
      </c>
      <c r="I221" t="s">
        <v>21</v>
      </c>
      <c r="K221" t="str">
        <f t="shared" si="12"/>
        <v>joao silva</v>
      </c>
      <c r="L221" t="str">
        <f t="shared" si="13"/>
        <v>JOAO SILVA</v>
      </c>
      <c r="M221" t="str">
        <f t="shared" si="14"/>
        <v>Joao Silva</v>
      </c>
      <c r="N221" t="str">
        <f t="shared" si="15"/>
        <v>Joao Silva</v>
      </c>
    </row>
    <row r="222" spans="1:14" x14ac:dyDescent="0.25">
      <c r="A222">
        <v>10680</v>
      </c>
      <c r="B222" t="s">
        <v>85</v>
      </c>
      <c r="C222" t="s">
        <v>23</v>
      </c>
      <c r="D222">
        <v>12.99</v>
      </c>
      <c r="E222">
        <v>646.65</v>
      </c>
      <c r="F222" t="s">
        <v>19</v>
      </c>
      <c r="G222" t="s">
        <v>50</v>
      </c>
      <c r="H222" t="s">
        <v>42</v>
      </c>
      <c r="I222" t="s">
        <v>21</v>
      </c>
      <c r="K222" t="str">
        <f t="shared" si="12"/>
        <v>joao silva</v>
      </c>
      <c r="L222" t="str">
        <f t="shared" si="13"/>
        <v>JOAO SILVA</v>
      </c>
      <c r="M222" t="str">
        <f t="shared" si="14"/>
        <v>Joao Silva</v>
      </c>
      <c r="N222" t="str">
        <f t="shared" si="15"/>
        <v>Joao Silva</v>
      </c>
    </row>
    <row r="223" spans="1:14" x14ac:dyDescent="0.25">
      <c r="A223">
        <v>10681</v>
      </c>
      <c r="B223" t="s">
        <v>85</v>
      </c>
      <c r="C223" t="s">
        <v>27</v>
      </c>
      <c r="D223">
        <v>9.9499999999999993</v>
      </c>
      <c r="E223">
        <v>241.21</v>
      </c>
      <c r="F223" t="s">
        <v>19</v>
      </c>
      <c r="G223" t="s">
        <v>50</v>
      </c>
      <c r="H223" t="s">
        <v>42</v>
      </c>
      <c r="I223" t="s">
        <v>21</v>
      </c>
      <c r="K223" t="str">
        <f t="shared" si="12"/>
        <v>joao silva</v>
      </c>
      <c r="L223" t="str">
        <f t="shared" si="13"/>
        <v>JOAO SILVA</v>
      </c>
      <c r="M223" t="str">
        <f t="shared" si="14"/>
        <v>Joao Silva</v>
      </c>
      <c r="N223" t="str">
        <f t="shared" si="15"/>
        <v>Joao Silva</v>
      </c>
    </row>
    <row r="224" spans="1:14" x14ac:dyDescent="0.25">
      <c r="A224">
        <v>10682</v>
      </c>
      <c r="B224" t="s">
        <v>85</v>
      </c>
      <c r="C224" t="s">
        <v>10</v>
      </c>
      <c r="D224">
        <v>3.49</v>
      </c>
      <c r="E224">
        <v>630.37</v>
      </c>
      <c r="F224" t="s">
        <v>19</v>
      </c>
      <c r="G224" t="s">
        <v>50</v>
      </c>
      <c r="H224" t="s">
        <v>42</v>
      </c>
      <c r="I224" t="s">
        <v>21</v>
      </c>
      <c r="K224" t="str">
        <f t="shared" si="12"/>
        <v>joao silva</v>
      </c>
      <c r="L224" t="str">
        <f t="shared" si="13"/>
        <v>JOAO SILVA</v>
      </c>
      <c r="M224" t="str">
        <f t="shared" si="14"/>
        <v>Joao Silva</v>
      </c>
      <c r="N224" t="str">
        <f t="shared" si="15"/>
        <v>Joao Silva</v>
      </c>
    </row>
    <row r="225" spans="1:14" x14ac:dyDescent="0.25">
      <c r="A225">
        <v>10683</v>
      </c>
      <c r="B225" t="s">
        <v>85</v>
      </c>
      <c r="C225" t="s">
        <v>15</v>
      </c>
      <c r="D225">
        <v>2.95</v>
      </c>
      <c r="E225">
        <v>677.97</v>
      </c>
      <c r="F225" t="s">
        <v>19</v>
      </c>
      <c r="G225" t="s">
        <v>50</v>
      </c>
      <c r="H225" t="s">
        <v>42</v>
      </c>
      <c r="I225" t="s">
        <v>21</v>
      </c>
      <c r="K225" t="str">
        <f t="shared" si="12"/>
        <v>joao silva</v>
      </c>
      <c r="L225" t="str">
        <f t="shared" si="13"/>
        <v>JOAO SILVA</v>
      </c>
      <c r="M225" t="str">
        <f t="shared" si="14"/>
        <v>Joao Silva</v>
      </c>
      <c r="N225" t="str">
        <f t="shared" si="15"/>
        <v>Joao Silva</v>
      </c>
    </row>
    <row r="226" spans="1:14" x14ac:dyDescent="0.25">
      <c r="A226">
        <v>10684</v>
      </c>
      <c r="B226" t="s">
        <v>85</v>
      </c>
      <c r="C226" t="s">
        <v>18</v>
      </c>
      <c r="D226">
        <v>4.99</v>
      </c>
      <c r="E226">
        <v>200.4</v>
      </c>
      <c r="F226" t="s">
        <v>19</v>
      </c>
      <c r="G226" t="s">
        <v>50</v>
      </c>
      <c r="H226" t="s">
        <v>42</v>
      </c>
      <c r="I226" t="s">
        <v>21</v>
      </c>
      <c r="K226" t="str">
        <f t="shared" si="12"/>
        <v>joao silva</v>
      </c>
      <c r="L226" t="str">
        <f t="shared" si="13"/>
        <v>JOAO SILVA</v>
      </c>
      <c r="M226" t="str">
        <f t="shared" si="14"/>
        <v>Joao Silva</v>
      </c>
      <c r="N226" t="str">
        <f t="shared" si="15"/>
        <v>Joao Silva</v>
      </c>
    </row>
    <row r="227" spans="1:14" x14ac:dyDescent="0.25">
      <c r="A227">
        <v>10685</v>
      </c>
      <c r="B227" t="s">
        <v>86</v>
      </c>
      <c r="C227" t="s">
        <v>23</v>
      </c>
      <c r="D227">
        <v>12.99</v>
      </c>
      <c r="E227">
        <v>677.44</v>
      </c>
      <c r="F227" t="s">
        <v>19</v>
      </c>
      <c r="G227" t="s">
        <v>50</v>
      </c>
      <c r="H227" t="s">
        <v>42</v>
      </c>
      <c r="I227" t="s">
        <v>21</v>
      </c>
      <c r="K227" t="str">
        <f t="shared" si="12"/>
        <v>joao silva</v>
      </c>
      <c r="L227" t="str">
        <f t="shared" si="13"/>
        <v>JOAO SILVA</v>
      </c>
      <c r="M227" t="str">
        <f t="shared" si="14"/>
        <v>Joao Silva</v>
      </c>
      <c r="N227" t="str">
        <f t="shared" si="15"/>
        <v>Joao Silva</v>
      </c>
    </row>
    <row r="228" spans="1:14" x14ac:dyDescent="0.25">
      <c r="A228">
        <v>10686</v>
      </c>
      <c r="B228" t="s">
        <v>86</v>
      </c>
      <c r="C228" t="s">
        <v>27</v>
      </c>
      <c r="D228">
        <v>9.9499999999999993</v>
      </c>
      <c r="E228">
        <v>241.21</v>
      </c>
      <c r="F228" t="s">
        <v>19</v>
      </c>
      <c r="G228" t="s">
        <v>50</v>
      </c>
      <c r="H228" t="s">
        <v>42</v>
      </c>
      <c r="I228" t="s">
        <v>21</v>
      </c>
      <c r="K228" t="str">
        <f t="shared" si="12"/>
        <v>joao silva</v>
      </c>
      <c r="L228" t="str">
        <f t="shared" si="13"/>
        <v>JOAO SILVA</v>
      </c>
      <c r="M228" t="str">
        <f t="shared" si="14"/>
        <v>Joao Silva</v>
      </c>
      <c r="N228" t="str">
        <f t="shared" si="15"/>
        <v>Joao Silva</v>
      </c>
    </row>
    <row r="229" spans="1:14" x14ac:dyDescent="0.25">
      <c r="A229">
        <v>10687</v>
      </c>
      <c r="B229" t="s">
        <v>86</v>
      </c>
      <c r="C229" t="s">
        <v>10</v>
      </c>
      <c r="D229">
        <v>3.49</v>
      </c>
      <c r="E229">
        <v>630.37</v>
      </c>
      <c r="F229" t="s">
        <v>19</v>
      </c>
      <c r="G229" t="s">
        <v>50</v>
      </c>
      <c r="H229" t="s">
        <v>25</v>
      </c>
      <c r="I229" t="s">
        <v>26</v>
      </c>
      <c r="K229" t="str">
        <f t="shared" si="12"/>
        <v>joao silva</v>
      </c>
      <c r="L229" t="str">
        <f t="shared" si="13"/>
        <v>JOAO SILVA</v>
      </c>
      <c r="M229" t="str">
        <f t="shared" si="14"/>
        <v>Joao Silva</v>
      </c>
      <c r="N229" t="str">
        <f t="shared" si="15"/>
        <v>Joao Silva</v>
      </c>
    </row>
    <row r="230" spans="1:14" x14ac:dyDescent="0.25">
      <c r="A230">
        <v>10688</v>
      </c>
      <c r="B230" t="s">
        <v>86</v>
      </c>
      <c r="C230" t="s">
        <v>15</v>
      </c>
      <c r="D230">
        <v>2.95</v>
      </c>
      <c r="E230">
        <v>677.97</v>
      </c>
      <c r="F230" t="s">
        <v>19</v>
      </c>
      <c r="G230" t="s">
        <v>50</v>
      </c>
      <c r="H230" t="s">
        <v>25</v>
      </c>
      <c r="I230" t="s">
        <v>26</v>
      </c>
      <c r="K230" t="str">
        <f t="shared" si="12"/>
        <v>joao silva</v>
      </c>
      <c r="L230" t="str">
        <f t="shared" si="13"/>
        <v>JOAO SILVA</v>
      </c>
      <c r="M230" t="str">
        <f t="shared" si="14"/>
        <v>Joao Silva</v>
      </c>
      <c r="N230" t="str">
        <f t="shared" si="15"/>
        <v>Joao Silva</v>
      </c>
    </row>
    <row r="231" spans="1:14" x14ac:dyDescent="0.25">
      <c r="A231">
        <v>10689</v>
      </c>
      <c r="B231" t="s">
        <v>86</v>
      </c>
      <c r="C231" t="s">
        <v>18</v>
      </c>
      <c r="D231">
        <v>4.99</v>
      </c>
      <c r="E231">
        <v>200.4</v>
      </c>
      <c r="F231" t="s">
        <v>19</v>
      </c>
      <c r="G231" t="s">
        <v>50</v>
      </c>
      <c r="H231" t="s">
        <v>25</v>
      </c>
      <c r="I231" t="s">
        <v>26</v>
      </c>
      <c r="K231" t="str">
        <f t="shared" si="12"/>
        <v>joao silva</v>
      </c>
      <c r="L231" t="str">
        <f t="shared" si="13"/>
        <v>JOAO SILVA</v>
      </c>
      <c r="M231" t="str">
        <f t="shared" si="14"/>
        <v>Joao Silva</v>
      </c>
      <c r="N231" t="str">
        <f t="shared" si="15"/>
        <v>Joao Silva</v>
      </c>
    </row>
    <row r="232" spans="1:14" x14ac:dyDescent="0.25">
      <c r="A232">
        <v>10690</v>
      </c>
      <c r="B232" t="s">
        <v>87</v>
      </c>
      <c r="C232" t="s">
        <v>23</v>
      </c>
      <c r="D232">
        <v>12.99</v>
      </c>
      <c r="E232">
        <v>677.44</v>
      </c>
      <c r="F232" t="s">
        <v>19</v>
      </c>
      <c r="G232" t="s">
        <v>50</v>
      </c>
      <c r="H232" t="s">
        <v>25</v>
      </c>
      <c r="I232" t="s">
        <v>26</v>
      </c>
      <c r="K232" t="str">
        <f t="shared" si="12"/>
        <v>joao silva</v>
      </c>
      <c r="L232" t="str">
        <f t="shared" si="13"/>
        <v>JOAO SILVA</v>
      </c>
      <c r="M232" t="str">
        <f t="shared" si="14"/>
        <v>Joao Silva</v>
      </c>
      <c r="N232" t="str">
        <f t="shared" si="15"/>
        <v>Joao Silva</v>
      </c>
    </row>
    <row r="233" spans="1:14" x14ac:dyDescent="0.25">
      <c r="A233">
        <v>10691</v>
      </c>
      <c r="B233" t="s">
        <v>87</v>
      </c>
      <c r="C233" t="s">
        <v>27</v>
      </c>
      <c r="D233">
        <v>9.9499999999999993</v>
      </c>
      <c r="E233">
        <v>261.31</v>
      </c>
      <c r="F233" t="s">
        <v>19</v>
      </c>
      <c r="G233" t="s">
        <v>50</v>
      </c>
      <c r="H233" t="s">
        <v>25</v>
      </c>
      <c r="I233" t="s">
        <v>26</v>
      </c>
      <c r="K233" t="str">
        <f t="shared" si="12"/>
        <v>walter muller</v>
      </c>
      <c r="L233" t="str">
        <f t="shared" si="13"/>
        <v>WALTER MULLER</v>
      </c>
      <c r="M233" t="str">
        <f t="shared" si="14"/>
        <v>Walter Muller</v>
      </c>
      <c r="N233" t="str">
        <f t="shared" si="15"/>
        <v>Walter Muller</v>
      </c>
    </row>
    <row r="234" spans="1:14" x14ac:dyDescent="0.25">
      <c r="A234">
        <v>10692</v>
      </c>
      <c r="B234" t="s">
        <v>87</v>
      </c>
      <c r="C234" t="s">
        <v>10</v>
      </c>
      <c r="D234">
        <v>3.49</v>
      </c>
      <c r="E234">
        <v>630.37</v>
      </c>
      <c r="F234" t="s">
        <v>19</v>
      </c>
      <c r="G234" t="s">
        <v>50</v>
      </c>
      <c r="H234" t="s">
        <v>25</v>
      </c>
      <c r="I234" t="s">
        <v>26</v>
      </c>
      <c r="K234" t="str">
        <f t="shared" si="12"/>
        <v>walter muller</v>
      </c>
      <c r="L234" t="str">
        <f t="shared" si="13"/>
        <v>WALTER MULLER</v>
      </c>
      <c r="M234" t="str">
        <f t="shared" si="14"/>
        <v>Walter Muller</v>
      </c>
      <c r="N234" t="str">
        <f t="shared" si="15"/>
        <v>Walter Muller</v>
      </c>
    </row>
    <row r="235" spans="1:14" x14ac:dyDescent="0.25">
      <c r="A235">
        <v>10693</v>
      </c>
      <c r="B235" t="s">
        <v>87</v>
      </c>
      <c r="C235" t="s">
        <v>15</v>
      </c>
      <c r="D235">
        <v>2.95</v>
      </c>
      <c r="E235">
        <v>677.97</v>
      </c>
      <c r="F235" t="s">
        <v>19</v>
      </c>
      <c r="G235" t="s">
        <v>50</v>
      </c>
      <c r="H235" t="s">
        <v>25</v>
      </c>
      <c r="I235" t="s">
        <v>26</v>
      </c>
      <c r="K235" t="str">
        <f t="shared" si="12"/>
        <v>walter muller</v>
      </c>
      <c r="L235" t="str">
        <f t="shared" si="13"/>
        <v>WALTER MULLER</v>
      </c>
      <c r="M235" t="str">
        <f t="shared" si="14"/>
        <v>Walter Muller</v>
      </c>
      <c r="N235" t="str">
        <f t="shared" si="15"/>
        <v>Walter Muller</v>
      </c>
    </row>
    <row r="236" spans="1:14" x14ac:dyDescent="0.25">
      <c r="A236">
        <v>10694</v>
      </c>
      <c r="B236" t="s">
        <v>87</v>
      </c>
      <c r="C236" t="s">
        <v>18</v>
      </c>
      <c r="D236">
        <v>4.99</v>
      </c>
      <c r="E236">
        <v>200.4</v>
      </c>
      <c r="F236" t="s">
        <v>19</v>
      </c>
      <c r="G236" t="s">
        <v>50</v>
      </c>
      <c r="H236" t="s">
        <v>25</v>
      </c>
      <c r="I236" t="s">
        <v>26</v>
      </c>
      <c r="K236" t="str">
        <f t="shared" si="12"/>
        <v>walter muller</v>
      </c>
      <c r="L236" t="str">
        <f t="shared" si="13"/>
        <v>WALTER MULLER</v>
      </c>
      <c r="M236" t="str">
        <f t="shared" si="14"/>
        <v>Walter Muller</v>
      </c>
      <c r="N236" t="str">
        <f t="shared" si="15"/>
        <v>Walter Muller</v>
      </c>
    </row>
    <row r="237" spans="1:14" x14ac:dyDescent="0.25">
      <c r="A237">
        <v>10695</v>
      </c>
      <c r="B237" t="s">
        <v>88</v>
      </c>
      <c r="C237" t="s">
        <v>23</v>
      </c>
      <c r="D237">
        <v>12.99</v>
      </c>
      <c r="E237">
        <v>692.84</v>
      </c>
      <c r="F237" t="s">
        <v>19</v>
      </c>
      <c r="G237" t="s">
        <v>50</v>
      </c>
      <c r="H237" t="s">
        <v>25</v>
      </c>
      <c r="I237" t="s">
        <v>26</v>
      </c>
      <c r="K237" t="str">
        <f t="shared" si="12"/>
        <v>walter muller</v>
      </c>
      <c r="L237" t="str">
        <f t="shared" si="13"/>
        <v>WALTER MULLER</v>
      </c>
      <c r="M237" t="str">
        <f t="shared" si="14"/>
        <v>Walter Muller</v>
      </c>
      <c r="N237" t="str">
        <f t="shared" si="15"/>
        <v>Walter Muller</v>
      </c>
    </row>
    <row r="238" spans="1:14" x14ac:dyDescent="0.25">
      <c r="A238">
        <v>10696</v>
      </c>
      <c r="B238" t="s">
        <v>88</v>
      </c>
      <c r="C238" t="s">
        <v>27</v>
      </c>
      <c r="D238">
        <v>9.9499999999999993</v>
      </c>
      <c r="E238">
        <v>281.41000000000003</v>
      </c>
      <c r="F238" t="s">
        <v>19</v>
      </c>
      <c r="G238" t="s">
        <v>50</v>
      </c>
      <c r="H238" t="s">
        <v>25</v>
      </c>
      <c r="I238" t="s">
        <v>26</v>
      </c>
      <c r="K238" t="str">
        <f t="shared" si="12"/>
        <v>walter muller</v>
      </c>
      <c r="L238" t="str">
        <f t="shared" si="13"/>
        <v>WALTER MULLER</v>
      </c>
      <c r="M238" t="str">
        <f t="shared" si="14"/>
        <v>Walter Muller</v>
      </c>
      <c r="N238" t="str">
        <f t="shared" si="15"/>
        <v>Walter Muller</v>
      </c>
    </row>
    <row r="239" spans="1:14" x14ac:dyDescent="0.25">
      <c r="A239">
        <v>10697</v>
      </c>
      <c r="B239" t="s">
        <v>88</v>
      </c>
      <c r="C239" t="s">
        <v>10</v>
      </c>
      <c r="D239">
        <v>3.49</v>
      </c>
      <c r="E239">
        <v>630.37</v>
      </c>
      <c r="F239" t="s">
        <v>19</v>
      </c>
      <c r="G239" t="s">
        <v>50</v>
      </c>
      <c r="H239" t="s">
        <v>25</v>
      </c>
      <c r="I239" t="s">
        <v>26</v>
      </c>
      <c r="K239" t="str">
        <f t="shared" si="12"/>
        <v>walter muller</v>
      </c>
      <c r="L239" t="str">
        <f t="shared" si="13"/>
        <v>WALTER MULLER</v>
      </c>
      <c r="M239" t="str">
        <f t="shared" si="14"/>
        <v>Walter Muller</v>
      </c>
      <c r="N239" t="str">
        <f t="shared" si="15"/>
        <v>Walter Muller</v>
      </c>
    </row>
    <row r="240" spans="1:14" x14ac:dyDescent="0.25">
      <c r="A240">
        <v>10698</v>
      </c>
      <c r="B240" t="s">
        <v>88</v>
      </c>
      <c r="C240" t="s">
        <v>15</v>
      </c>
      <c r="D240">
        <v>2.95</v>
      </c>
      <c r="E240">
        <v>677.97</v>
      </c>
      <c r="F240" t="s">
        <v>19</v>
      </c>
      <c r="G240" t="s">
        <v>50</v>
      </c>
      <c r="H240" t="s">
        <v>25</v>
      </c>
      <c r="I240" t="s">
        <v>26</v>
      </c>
      <c r="K240" t="str">
        <f t="shared" si="12"/>
        <v>walter muller</v>
      </c>
      <c r="L240" t="str">
        <f t="shared" si="13"/>
        <v>WALTER MULLER</v>
      </c>
      <c r="M240" t="str">
        <f t="shared" si="14"/>
        <v>Walter Muller</v>
      </c>
      <c r="N240" t="str">
        <f t="shared" si="15"/>
        <v>Walter Muller</v>
      </c>
    </row>
    <row r="241" spans="1:14" x14ac:dyDescent="0.25">
      <c r="A241">
        <v>10699</v>
      </c>
      <c r="B241" t="s">
        <v>88</v>
      </c>
      <c r="C241" t="s">
        <v>18</v>
      </c>
      <c r="D241">
        <v>4.99</v>
      </c>
      <c r="E241">
        <v>200.4</v>
      </c>
      <c r="F241" t="s">
        <v>19</v>
      </c>
      <c r="G241" t="s">
        <v>50</v>
      </c>
      <c r="H241" t="s">
        <v>25</v>
      </c>
      <c r="I241" t="s">
        <v>26</v>
      </c>
      <c r="K241" t="str">
        <f t="shared" si="12"/>
        <v>walter muller</v>
      </c>
      <c r="L241" t="str">
        <f t="shared" si="13"/>
        <v>WALTER MULLER</v>
      </c>
      <c r="M241" t="str">
        <f t="shared" si="14"/>
        <v>Walter Muller</v>
      </c>
      <c r="N241" t="str">
        <f t="shared" si="15"/>
        <v>Walter Muller</v>
      </c>
    </row>
    <row r="242" spans="1:14" x14ac:dyDescent="0.25">
      <c r="A242">
        <v>10700</v>
      </c>
      <c r="B242" t="s">
        <v>89</v>
      </c>
      <c r="C242" t="s">
        <v>23</v>
      </c>
      <c r="D242">
        <v>12.99</v>
      </c>
      <c r="E242">
        <v>692.84</v>
      </c>
      <c r="F242" t="s">
        <v>19</v>
      </c>
      <c r="G242" t="s">
        <v>50</v>
      </c>
      <c r="H242" t="s">
        <v>25</v>
      </c>
      <c r="I242" t="s">
        <v>26</v>
      </c>
      <c r="K242" t="str">
        <f t="shared" si="12"/>
        <v>walter muller</v>
      </c>
      <c r="L242" t="str">
        <f t="shared" si="13"/>
        <v>WALTER MULLER</v>
      </c>
      <c r="M242" t="str">
        <f t="shared" si="14"/>
        <v>Walter Muller</v>
      </c>
      <c r="N242" t="str">
        <f t="shared" si="15"/>
        <v>Walter Muller</v>
      </c>
    </row>
    <row r="243" spans="1:14" x14ac:dyDescent="0.25">
      <c r="A243">
        <v>10701</v>
      </c>
      <c r="B243" t="s">
        <v>89</v>
      </c>
      <c r="C243" t="s">
        <v>27</v>
      </c>
      <c r="D243">
        <v>9.9499999999999993</v>
      </c>
      <c r="E243">
        <v>281.41000000000003</v>
      </c>
      <c r="F243" t="s">
        <v>19</v>
      </c>
      <c r="G243" t="s">
        <v>50</v>
      </c>
      <c r="H243" t="s">
        <v>25</v>
      </c>
      <c r="I243" t="s">
        <v>26</v>
      </c>
      <c r="K243" t="str">
        <f t="shared" si="12"/>
        <v>walter muller</v>
      </c>
      <c r="L243" t="str">
        <f t="shared" si="13"/>
        <v>WALTER MULLER</v>
      </c>
      <c r="M243" t="str">
        <f t="shared" si="14"/>
        <v>Walter Muller</v>
      </c>
      <c r="N243" t="str">
        <f t="shared" si="15"/>
        <v>Walter Muller</v>
      </c>
    </row>
    <row r="244" spans="1:14" x14ac:dyDescent="0.25">
      <c r="A244">
        <v>10702</v>
      </c>
      <c r="B244" t="s">
        <v>89</v>
      </c>
      <c r="C244" t="s">
        <v>10</v>
      </c>
      <c r="D244">
        <v>3.49</v>
      </c>
      <c r="E244">
        <v>630.37</v>
      </c>
      <c r="F244" t="s">
        <v>19</v>
      </c>
      <c r="G244" t="s">
        <v>50</v>
      </c>
      <c r="H244" t="s">
        <v>25</v>
      </c>
      <c r="I244" t="s">
        <v>26</v>
      </c>
      <c r="K244" t="str">
        <f t="shared" si="12"/>
        <v>walter muller</v>
      </c>
      <c r="L244" t="str">
        <f t="shared" si="13"/>
        <v>WALTER MULLER</v>
      </c>
      <c r="M244" t="str">
        <f t="shared" si="14"/>
        <v>Walter Muller</v>
      </c>
      <c r="N244" t="str">
        <f t="shared" si="15"/>
        <v>Walter Muller</v>
      </c>
    </row>
    <row r="245" spans="1:14" x14ac:dyDescent="0.25">
      <c r="A245">
        <v>10703</v>
      </c>
      <c r="B245" t="s">
        <v>89</v>
      </c>
      <c r="C245" t="s">
        <v>15</v>
      </c>
      <c r="D245">
        <v>2.95</v>
      </c>
      <c r="E245">
        <v>677.97</v>
      </c>
      <c r="F245" t="s">
        <v>19</v>
      </c>
      <c r="G245" t="s">
        <v>12</v>
      </c>
      <c r="H245" t="s">
        <v>25</v>
      </c>
      <c r="I245" t="s">
        <v>26</v>
      </c>
      <c r="K245" t="str">
        <f t="shared" si="12"/>
        <v>walter muller</v>
      </c>
      <c r="L245" t="str">
        <f t="shared" si="13"/>
        <v>WALTER MULLER</v>
      </c>
      <c r="M245" t="str">
        <f t="shared" si="14"/>
        <v>Walter Muller</v>
      </c>
      <c r="N245" t="str">
        <f t="shared" si="15"/>
        <v>Walter Muller</v>
      </c>
    </row>
    <row r="246" spans="1:14" x14ac:dyDescent="0.25">
      <c r="A246">
        <v>10704</v>
      </c>
      <c r="B246" t="s">
        <v>89</v>
      </c>
      <c r="C246" t="s">
        <v>18</v>
      </c>
      <c r="D246">
        <v>4.99</v>
      </c>
      <c r="E246">
        <v>200.4</v>
      </c>
      <c r="F246" t="s">
        <v>46</v>
      </c>
      <c r="G246" t="s">
        <v>12</v>
      </c>
      <c r="H246" t="s">
        <v>25</v>
      </c>
      <c r="I246" t="s">
        <v>26</v>
      </c>
      <c r="K246" t="str">
        <f t="shared" si="12"/>
        <v>walter muller</v>
      </c>
      <c r="L246" t="str">
        <f t="shared" si="13"/>
        <v>WALTER MULLER</v>
      </c>
      <c r="M246" t="str">
        <f t="shared" si="14"/>
        <v>Walter Muller</v>
      </c>
      <c r="N246" t="str">
        <f t="shared" si="15"/>
        <v>Walter Muller</v>
      </c>
    </row>
    <row r="247" spans="1:14" x14ac:dyDescent="0.25">
      <c r="A247">
        <v>10705</v>
      </c>
      <c r="B247" t="s">
        <v>90</v>
      </c>
      <c r="C247" t="s">
        <v>23</v>
      </c>
      <c r="D247">
        <v>12.99</v>
      </c>
      <c r="E247">
        <v>723.63</v>
      </c>
      <c r="F247" t="s">
        <v>46</v>
      </c>
      <c r="G247" t="s">
        <v>12</v>
      </c>
      <c r="H247" t="s">
        <v>25</v>
      </c>
      <c r="I247" t="s">
        <v>26</v>
      </c>
      <c r="K247" t="str">
        <f t="shared" si="12"/>
        <v>walter muller</v>
      </c>
      <c r="L247" t="str">
        <f t="shared" si="13"/>
        <v>WALTER MULLER</v>
      </c>
      <c r="M247" t="str">
        <f t="shared" si="14"/>
        <v>Walter Muller</v>
      </c>
      <c r="N247" t="str">
        <f t="shared" si="15"/>
        <v>Walter Muller</v>
      </c>
    </row>
    <row r="248" spans="1:14" x14ac:dyDescent="0.25">
      <c r="A248">
        <v>10706</v>
      </c>
      <c r="B248" t="s">
        <v>90</v>
      </c>
      <c r="C248" t="s">
        <v>27</v>
      </c>
      <c r="D248">
        <v>9.9499999999999993</v>
      </c>
      <c r="E248">
        <v>301.51</v>
      </c>
      <c r="F248" t="s">
        <v>46</v>
      </c>
      <c r="G248" t="s">
        <v>12</v>
      </c>
      <c r="H248" t="s">
        <v>25</v>
      </c>
      <c r="I248" t="s">
        <v>26</v>
      </c>
      <c r="K248" t="str">
        <f t="shared" si="12"/>
        <v>walter muller</v>
      </c>
      <c r="L248" t="str">
        <f t="shared" si="13"/>
        <v>WALTER MULLER</v>
      </c>
      <c r="M248" t="str">
        <f t="shared" si="14"/>
        <v>Walter Muller</v>
      </c>
      <c r="N248" t="str">
        <f t="shared" si="15"/>
        <v>Walter Muller</v>
      </c>
    </row>
    <row r="249" spans="1:14" x14ac:dyDescent="0.25">
      <c r="A249">
        <v>10707</v>
      </c>
      <c r="B249" t="s">
        <v>90</v>
      </c>
      <c r="C249" t="s">
        <v>10</v>
      </c>
      <c r="D249">
        <v>3.49</v>
      </c>
      <c r="E249">
        <v>630.37</v>
      </c>
      <c r="F249" t="s">
        <v>46</v>
      </c>
      <c r="G249" t="s">
        <v>12</v>
      </c>
      <c r="H249" t="s">
        <v>25</v>
      </c>
      <c r="I249" t="s">
        <v>26</v>
      </c>
      <c r="K249" t="str">
        <f t="shared" si="12"/>
        <v>walter muller</v>
      </c>
      <c r="L249" t="str">
        <f t="shared" si="13"/>
        <v>WALTER MULLER</v>
      </c>
      <c r="M249" t="str">
        <f t="shared" si="14"/>
        <v>Walter Muller</v>
      </c>
      <c r="N249" t="str">
        <f t="shared" si="15"/>
        <v>Walter Muller</v>
      </c>
    </row>
    <row r="250" spans="1:14" x14ac:dyDescent="0.25">
      <c r="A250">
        <v>10708</v>
      </c>
      <c r="B250" t="s">
        <v>90</v>
      </c>
      <c r="C250" t="s">
        <v>15</v>
      </c>
      <c r="D250">
        <v>2.95</v>
      </c>
      <c r="E250">
        <v>677.97</v>
      </c>
      <c r="F250" t="s">
        <v>46</v>
      </c>
      <c r="G250" t="s">
        <v>12</v>
      </c>
      <c r="H250" t="s">
        <v>25</v>
      </c>
      <c r="I250" t="s">
        <v>26</v>
      </c>
      <c r="K250" t="str">
        <f t="shared" si="12"/>
        <v>walter muller</v>
      </c>
      <c r="L250" t="str">
        <f t="shared" si="13"/>
        <v>WALTER MULLER</v>
      </c>
      <c r="M250" t="str">
        <f t="shared" si="14"/>
        <v>Walter Muller</v>
      </c>
      <c r="N250" t="str">
        <f t="shared" si="15"/>
        <v>Walter Muller</v>
      </c>
    </row>
    <row r="251" spans="1:14" x14ac:dyDescent="0.25">
      <c r="A251">
        <v>10709</v>
      </c>
      <c r="B251" t="s">
        <v>90</v>
      </c>
      <c r="C251" t="s">
        <v>18</v>
      </c>
      <c r="D251">
        <v>4.99</v>
      </c>
      <c r="E251">
        <v>200.4</v>
      </c>
      <c r="F251" t="s">
        <v>46</v>
      </c>
      <c r="G251" t="s">
        <v>12</v>
      </c>
      <c r="H251" t="s">
        <v>25</v>
      </c>
      <c r="I251" t="s">
        <v>26</v>
      </c>
      <c r="K251" t="str">
        <f t="shared" si="12"/>
        <v>walter muller</v>
      </c>
      <c r="L251" t="str">
        <f t="shared" si="13"/>
        <v>WALTER MULLER</v>
      </c>
      <c r="M251" t="str">
        <f t="shared" si="14"/>
        <v>Walter Muller</v>
      </c>
      <c r="N251" t="str">
        <f t="shared" si="15"/>
        <v>Walter Muller</v>
      </c>
    </row>
    <row r="252" spans="1:14" x14ac:dyDescent="0.25">
      <c r="A252">
        <v>10710</v>
      </c>
      <c r="B252" t="s">
        <v>91</v>
      </c>
      <c r="C252" t="s">
        <v>23</v>
      </c>
      <c r="D252">
        <v>12.99</v>
      </c>
      <c r="E252">
        <v>754.43</v>
      </c>
      <c r="F252" t="s">
        <v>46</v>
      </c>
      <c r="G252" t="s">
        <v>12</v>
      </c>
      <c r="H252" t="s">
        <v>25</v>
      </c>
      <c r="I252" t="s">
        <v>26</v>
      </c>
      <c r="K252" t="str">
        <f t="shared" si="12"/>
        <v>walter muller</v>
      </c>
      <c r="L252" t="str">
        <f t="shared" si="13"/>
        <v>WALTER MULLER</v>
      </c>
      <c r="M252" t="str">
        <f t="shared" si="14"/>
        <v>Walter Muller</v>
      </c>
      <c r="N252" t="str">
        <f t="shared" si="15"/>
        <v>Walter Muller</v>
      </c>
    </row>
    <row r="253" spans="1:14" x14ac:dyDescent="0.25">
      <c r="A253">
        <v>10711</v>
      </c>
      <c r="B253" t="s">
        <v>91</v>
      </c>
      <c r="C253" t="s">
        <v>27</v>
      </c>
      <c r="D253">
        <v>9.9499999999999993</v>
      </c>
      <c r="E253">
        <v>281.41000000000003</v>
      </c>
      <c r="F253" t="s">
        <v>46</v>
      </c>
      <c r="G253" t="s">
        <v>12</v>
      </c>
      <c r="H253" t="s">
        <v>25</v>
      </c>
      <c r="I253" t="s">
        <v>26</v>
      </c>
      <c r="K253" t="str">
        <f t="shared" si="12"/>
        <v>walter muller</v>
      </c>
      <c r="L253" t="str">
        <f t="shared" si="13"/>
        <v>WALTER MULLER</v>
      </c>
      <c r="M253" t="str">
        <f t="shared" si="14"/>
        <v>Walter Muller</v>
      </c>
      <c r="N253" t="str">
        <f t="shared" si="15"/>
        <v>Walter Muller</v>
      </c>
    </row>
    <row r="254" spans="1:14" x14ac:dyDescent="0.25">
      <c r="A254">
        <v>10712</v>
      </c>
      <c r="B254" t="s">
        <v>91</v>
      </c>
      <c r="C254" t="s">
        <v>10</v>
      </c>
      <c r="D254">
        <v>3.49</v>
      </c>
      <c r="E254">
        <v>630.37</v>
      </c>
      <c r="F254" t="s">
        <v>46</v>
      </c>
      <c r="G254" t="s">
        <v>12</v>
      </c>
      <c r="H254" t="s">
        <v>25</v>
      </c>
      <c r="I254" t="s">
        <v>26</v>
      </c>
      <c r="K254" t="str">
        <f t="shared" si="12"/>
        <v>walter muller</v>
      </c>
      <c r="L254" t="str">
        <f t="shared" si="13"/>
        <v>WALTER MULLER</v>
      </c>
      <c r="M254" t="str">
        <f t="shared" si="14"/>
        <v>Walter Muller</v>
      </c>
      <c r="N254" t="str">
        <f t="shared" si="15"/>
        <v>Walter Muller</v>
      </c>
    </row>
    <row r="255" spans="1:14" x14ac:dyDescent="0.25">
      <c r="A255">
        <v>10713</v>
      </c>
      <c r="B255" t="s">
        <v>91</v>
      </c>
      <c r="C255" t="s">
        <v>15</v>
      </c>
      <c r="D255">
        <v>2.95</v>
      </c>
      <c r="E255">
        <v>677.97</v>
      </c>
      <c r="F255" t="s">
        <v>46</v>
      </c>
      <c r="G255" t="s">
        <v>12</v>
      </c>
      <c r="H255" t="s">
        <v>25</v>
      </c>
      <c r="I255" t="s">
        <v>26</v>
      </c>
      <c r="K255" t="str">
        <f t="shared" si="12"/>
        <v>walter muller</v>
      </c>
      <c r="L255" t="str">
        <f t="shared" si="13"/>
        <v>WALTER MULLER</v>
      </c>
      <c r="M255" t="str">
        <f t="shared" si="14"/>
        <v>Walter Muller</v>
      </c>
      <c r="N255" t="str">
        <f t="shared" si="15"/>
        <v>Walter Muller</v>
      </c>
    </row>
    <row r="256" spans="1:14" x14ac:dyDescent="0.25">
      <c r="K256" t="str">
        <f t="shared" si="12"/>
        <v>walter muller</v>
      </c>
      <c r="L256" t="str">
        <f t="shared" si="13"/>
        <v>WALTER MULLER</v>
      </c>
      <c r="M256" t="str">
        <f t="shared" si="14"/>
        <v>Walter Muller</v>
      </c>
      <c r="N256" t="str">
        <f t="shared" si="15"/>
        <v>Walter Muller</v>
      </c>
    </row>
    <row r="257" spans="11:14" x14ac:dyDescent="0.25">
      <c r="K257" t="str">
        <f t="shared" si="12"/>
        <v>walter muller</v>
      </c>
      <c r="L257" t="str">
        <f t="shared" si="13"/>
        <v>WALTER MULLER</v>
      </c>
      <c r="M257" t="str">
        <f t="shared" si="14"/>
        <v>Walter Muller</v>
      </c>
      <c r="N257" t="str">
        <f t="shared" si="15"/>
        <v>Walter Muller</v>
      </c>
    </row>
    <row r="258" spans="11:14" x14ac:dyDescent="0.25">
      <c r="K258" t="str">
        <f t="shared" si="12"/>
        <v>walter muller</v>
      </c>
      <c r="L258" t="str">
        <f t="shared" si="13"/>
        <v>WALTER MULLER</v>
      </c>
      <c r="M258" t="str">
        <f t="shared" si="14"/>
        <v>Walter Muller</v>
      </c>
      <c r="N258" t="str">
        <f t="shared" si="15"/>
        <v>Walter Muller</v>
      </c>
    </row>
    <row r="259" spans="11:14" x14ac:dyDescent="0.25">
      <c r="K259" t="str">
        <f t="shared" si="12"/>
        <v>walter muller</v>
      </c>
      <c r="L259" t="str">
        <f t="shared" si="13"/>
        <v>WALTER MULLER</v>
      </c>
      <c r="M259" t="str">
        <f t="shared" si="14"/>
        <v>Walter Muller</v>
      </c>
      <c r="N259" t="str">
        <f t="shared" si="15"/>
        <v>Walter Muller</v>
      </c>
    </row>
  </sheetData>
  <mergeCells count="7">
    <mergeCell ref="R18:S18"/>
    <mergeCell ref="K4:N4"/>
    <mergeCell ref="P4:S4"/>
    <mergeCell ref="P10:S10"/>
    <mergeCell ref="K1:U1"/>
    <mergeCell ref="S13:V13"/>
    <mergeCell ref="Q7:S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EC07-4511-4C1A-9D30-DD60F292F694}">
  <dimension ref="A1:AD258"/>
  <sheetViews>
    <sheetView showGridLines="0" workbookViewId="0">
      <selection activeCell="W30" sqref="W30"/>
    </sheetView>
  </sheetViews>
  <sheetFormatPr defaultRowHeight="15" x14ac:dyDescent="0.25"/>
  <cols>
    <col min="1" max="1" width="10.5703125" customWidth="1"/>
    <col min="2" max="2" width="10.42578125" bestFit="1" customWidth="1"/>
    <col min="3" max="3" width="10" customWidth="1"/>
    <col min="5" max="5" width="10.85546875" customWidth="1"/>
    <col min="6" max="6" width="15.85546875" customWidth="1"/>
    <col min="7" max="7" width="18.5703125" customWidth="1"/>
    <col min="8" max="8" width="11" customWidth="1"/>
    <col min="11" max="11" width="11.5703125" bestFit="1" customWidth="1"/>
    <col min="14" max="14" width="21.7109375" customWidth="1"/>
    <col min="15" max="15" width="15.42578125" bestFit="1" customWidth="1"/>
    <col min="16" max="16" width="19.85546875" customWidth="1"/>
    <col min="17" max="17" width="23.42578125" customWidth="1"/>
    <col min="18" max="18" width="13.28515625" customWidth="1"/>
    <col min="19" max="19" width="16.42578125" bestFit="1" customWidth="1"/>
    <col min="20" max="20" width="20.28515625" bestFit="1" customWidth="1"/>
    <col min="21" max="21" width="21.5703125" bestFit="1" customWidth="1"/>
    <col min="22" max="22" width="19" customWidth="1"/>
    <col min="23" max="23" width="17.28515625" bestFit="1" customWidth="1"/>
    <col min="24" max="25" width="10.42578125" bestFit="1" customWidth="1"/>
  </cols>
  <sheetData>
    <row r="1" spans="1:30" ht="26.25" x14ac:dyDescent="0.4">
      <c r="K1" s="40" t="s">
        <v>139</v>
      </c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</row>
    <row r="2" spans="1:30" ht="15.75" x14ac:dyDescent="0.25">
      <c r="K2" s="2"/>
      <c r="L2" s="2"/>
      <c r="M2" s="2"/>
      <c r="N2" s="7" t="s">
        <v>155</v>
      </c>
      <c r="O2" s="7"/>
      <c r="P2" s="7"/>
      <c r="Q2" s="7"/>
    </row>
    <row r="3" spans="1:30" ht="15.7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K3" s="7" t="s">
        <v>119</v>
      </c>
      <c r="L3" s="7" t="s">
        <v>120</v>
      </c>
      <c r="O3" t="s">
        <v>113</v>
      </c>
      <c r="P3" t="s">
        <v>115</v>
      </c>
      <c r="Q3" t="s">
        <v>114</v>
      </c>
      <c r="R3" s="41" t="s">
        <v>132</v>
      </c>
      <c r="S3" s="41"/>
      <c r="T3" s="41"/>
      <c r="U3" s="41"/>
    </row>
    <row r="4" spans="1:30" ht="15.75" x14ac:dyDescent="0.25">
      <c r="A4">
        <v>10452</v>
      </c>
      <c r="B4" t="s">
        <v>9</v>
      </c>
      <c r="C4" t="s">
        <v>10</v>
      </c>
      <c r="D4" s="9">
        <v>3.49</v>
      </c>
      <c r="E4">
        <v>573.07000000000005</v>
      </c>
      <c r="F4" t="s">
        <v>110</v>
      </c>
      <c r="G4" t="s">
        <v>114</v>
      </c>
      <c r="H4" t="s">
        <v>13</v>
      </c>
      <c r="I4" t="s">
        <v>14</v>
      </c>
      <c r="K4" t="str" cm="1">
        <f t="array" ref="K4:K258">IF(D4:D258&gt;15, "5% discount", "No discount")</f>
        <v>No discount</v>
      </c>
      <c r="L4" t="str" cm="1">
        <f t="array" ref="L4:L257">_xlfn.IFS(D4:D257&gt;=10, "Free Beverages", D4:D257&lt;10, "Nothing")</f>
        <v>Nothing</v>
      </c>
      <c r="N4" s="7" t="s">
        <v>121</v>
      </c>
      <c r="O4" s="10">
        <f>SUMIF($G$4:$G$257, O3, $D$4:$D$257)</f>
        <v>895.99000000000137</v>
      </c>
      <c r="P4" s="10">
        <f t="shared" ref="P4:Q4" si="0">SUMIF($G$4:$G$257, P3, $D$4:$D$257)</f>
        <v>528.54000000000008</v>
      </c>
      <c r="Q4" s="10">
        <f t="shared" si="0"/>
        <v>379.46</v>
      </c>
    </row>
    <row r="5" spans="1:30" ht="15.75" x14ac:dyDescent="0.25">
      <c r="A5">
        <v>10453</v>
      </c>
      <c r="B5" t="s">
        <v>9</v>
      </c>
      <c r="C5" t="s">
        <v>15</v>
      </c>
      <c r="D5" s="9">
        <v>2.95</v>
      </c>
      <c r="E5">
        <v>745.76</v>
      </c>
      <c r="F5" t="s">
        <v>110</v>
      </c>
      <c r="G5" t="s">
        <v>114</v>
      </c>
      <c r="H5" t="s">
        <v>16</v>
      </c>
      <c r="I5" t="s">
        <v>17</v>
      </c>
      <c r="K5" t="str">
        <v>No discount</v>
      </c>
      <c r="L5" t="str">
        <v>Nothing</v>
      </c>
      <c r="N5" s="7" t="s">
        <v>123</v>
      </c>
      <c r="O5" s="10">
        <f>COUNTIF($G$4:$G$258, O3)</f>
        <v>120</v>
      </c>
      <c r="P5" s="10">
        <f>COUNTIF($G$4:$G$258, P3)</f>
        <v>76</v>
      </c>
      <c r="Q5" s="10">
        <f>COUNTIF($G$4:$G$258, Q3)</f>
        <v>58</v>
      </c>
      <c r="S5" s="7" t="s">
        <v>133</v>
      </c>
      <c r="T5" s="10">
        <f>_xlfn.DAYS(Y30, X30)</f>
        <v>30</v>
      </c>
    </row>
    <row r="6" spans="1:30" ht="15.75" x14ac:dyDescent="0.25">
      <c r="A6">
        <v>10454</v>
      </c>
      <c r="B6" t="s">
        <v>9</v>
      </c>
      <c r="C6" t="s">
        <v>18</v>
      </c>
      <c r="D6" s="9">
        <v>4.99</v>
      </c>
      <c r="E6">
        <v>200.4</v>
      </c>
      <c r="F6" t="s">
        <v>111</v>
      </c>
      <c r="G6" t="s">
        <v>114</v>
      </c>
      <c r="H6" t="s">
        <v>20</v>
      </c>
      <c r="I6" t="s">
        <v>21</v>
      </c>
      <c r="K6" t="str">
        <v>No discount</v>
      </c>
      <c r="L6" t="str">
        <v>Nothing</v>
      </c>
      <c r="N6" s="7" t="s">
        <v>168</v>
      </c>
      <c r="O6" s="10" t="b">
        <f>AND(O32&gt;10,P32&lt;25)</f>
        <v>1</v>
      </c>
      <c r="P6" s="10"/>
      <c r="Q6" s="10"/>
      <c r="S6" s="7" t="s">
        <v>134</v>
      </c>
      <c r="T6" s="10">
        <f>NETWORKDAYS(X30, Y30)</f>
        <v>21</v>
      </c>
    </row>
    <row r="7" spans="1:30" ht="15.75" x14ac:dyDescent="0.25">
      <c r="A7">
        <v>10455</v>
      </c>
      <c r="B7" t="s">
        <v>22</v>
      </c>
      <c r="C7" t="s">
        <v>23</v>
      </c>
      <c r="D7" s="9">
        <v>12.99</v>
      </c>
      <c r="E7">
        <v>569.66999999999996</v>
      </c>
      <c r="F7" t="s">
        <v>111</v>
      </c>
      <c r="G7" t="s">
        <v>113</v>
      </c>
      <c r="H7" t="s">
        <v>25</v>
      </c>
      <c r="I7" t="s">
        <v>26</v>
      </c>
      <c r="K7" t="str">
        <v>No discount</v>
      </c>
      <c r="L7" t="str">
        <v>Free Beverages</v>
      </c>
      <c r="N7" s="7" t="s">
        <v>169</v>
      </c>
      <c r="O7" s="10" t="b">
        <f>O32&lt;P2032=20</f>
        <v>0</v>
      </c>
      <c r="P7" s="10"/>
      <c r="Q7" s="10"/>
      <c r="S7" s="7" t="s">
        <v>135</v>
      </c>
      <c r="T7" s="12">
        <f>EOMONTH(Y30, 1)</f>
        <v>44620</v>
      </c>
    </row>
    <row r="8" spans="1:30" ht="15.75" x14ac:dyDescent="0.25">
      <c r="A8">
        <v>10456</v>
      </c>
      <c r="B8" t="s">
        <v>22</v>
      </c>
      <c r="C8" t="s">
        <v>27</v>
      </c>
      <c r="D8" s="9">
        <v>9.9499999999999993</v>
      </c>
      <c r="E8">
        <v>201.01</v>
      </c>
      <c r="F8" t="s">
        <v>111</v>
      </c>
      <c r="G8" t="s">
        <v>113</v>
      </c>
      <c r="H8" t="s">
        <v>25</v>
      </c>
      <c r="I8" t="s">
        <v>26</v>
      </c>
      <c r="K8" t="str">
        <v>No discount</v>
      </c>
      <c r="L8" t="str">
        <v>Nothing</v>
      </c>
      <c r="N8" s="7" t="s">
        <v>170</v>
      </c>
      <c r="O8" s="10" t="b">
        <f>NOT(O32= "Yes")</f>
        <v>1</v>
      </c>
      <c r="P8" s="10"/>
      <c r="Q8" s="10"/>
      <c r="S8" s="7" t="s">
        <v>151</v>
      </c>
      <c r="T8" s="12" t="str">
        <f>TEXT(X30, "YYYY-DDD-MMM")</f>
        <v>2022-Sat-Jan</v>
      </c>
    </row>
    <row r="9" spans="1:30" x14ac:dyDescent="0.25">
      <c r="A9">
        <v>10457</v>
      </c>
      <c r="B9" t="s">
        <v>22</v>
      </c>
      <c r="C9" t="s">
        <v>10</v>
      </c>
      <c r="D9" s="9">
        <v>3.49</v>
      </c>
      <c r="E9">
        <v>573.07000000000005</v>
      </c>
      <c r="F9" t="s">
        <v>111</v>
      </c>
      <c r="G9" t="s">
        <v>113</v>
      </c>
      <c r="H9" t="s">
        <v>28</v>
      </c>
      <c r="I9" t="s">
        <v>29</v>
      </c>
      <c r="K9" t="str">
        <v>No discount</v>
      </c>
      <c r="L9" t="str">
        <v>Nothing</v>
      </c>
    </row>
    <row r="10" spans="1:30" x14ac:dyDescent="0.25">
      <c r="A10">
        <v>10459</v>
      </c>
      <c r="B10" t="s">
        <v>22</v>
      </c>
      <c r="C10" t="s">
        <v>18</v>
      </c>
      <c r="D10" s="9">
        <v>4.99</v>
      </c>
      <c r="E10">
        <v>200.4</v>
      </c>
      <c r="F10" t="s">
        <v>111</v>
      </c>
      <c r="G10" t="s">
        <v>113</v>
      </c>
      <c r="H10" t="s">
        <v>25</v>
      </c>
      <c r="I10" t="s">
        <v>26</v>
      </c>
      <c r="K10" t="str">
        <v>No discount</v>
      </c>
      <c r="L10" t="str">
        <v>Nothing</v>
      </c>
    </row>
    <row r="11" spans="1:30" x14ac:dyDescent="0.25">
      <c r="A11">
        <v>10460</v>
      </c>
      <c r="B11" t="s">
        <v>30</v>
      </c>
      <c r="C11" t="s">
        <v>23</v>
      </c>
      <c r="D11" s="9">
        <v>12.99</v>
      </c>
      <c r="E11">
        <v>554.27</v>
      </c>
      <c r="F11" t="s">
        <v>111</v>
      </c>
      <c r="G11" t="s">
        <v>113</v>
      </c>
      <c r="H11" t="s">
        <v>31</v>
      </c>
      <c r="I11" t="s">
        <v>29</v>
      </c>
      <c r="K11" t="str">
        <v>No discount</v>
      </c>
      <c r="L11" t="str">
        <v>Free Beverages</v>
      </c>
      <c r="N11" s="38" t="s">
        <v>144</v>
      </c>
      <c r="O11" s="38"/>
    </row>
    <row r="12" spans="1:30" ht="15.75" x14ac:dyDescent="0.25">
      <c r="A12">
        <v>10461</v>
      </c>
      <c r="B12" t="s">
        <v>30</v>
      </c>
      <c r="C12" t="s">
        <v>27</v>
      </c>
      <c r="D12" s="9">
        <v>9.9499999999999993</v>
      </c>
      <c r="E12">
        <v>201.01</v>
      </c>
      <c r="F12" t="s">
        <v>111</v>
      </c>
      <c r="G12" t="s">
        <v>113</v>
      </c>
      <c r="H12" t="s">
        <v>31</v>
      </c>
      <c r="I12" t="s">
        <v>29</v>
      </c>
      <c r="K12" t="str">
        <v>No discount</v>
      </c>
      <c r="L12" t="str">
        <v>Nothing</v>
      </c>
      <c r="N12" s="7" t="s">
        <v>122</v>
      </c>
      <c r="O12" s="11">
        <f>SUMIFS(D4:D257, G4:G257, O3, F4:F257, W30)</f>
        <v>332.27000000000004</v>
      </c>
    </row>
    <row r="13" spans="1:30" ht="18.75" x14ac:dyDescent="0.3">
      <c r="A13">
        <v>10462</v>
      </c>
      <c r="B13" t="s">
        <v>30</v>
      </c>
      <c r="C13" t="s">
        <v>10</v>
      </c>
      <c r="D13" s="9">
        <v>3.49</v>
      </c>
      <c r="E13">
        <v>573.07000000000005</v>
      </c>
      <c r="F13" t="s">
        <v>111</v>
      </c>
      <c r="G13" t="s">
        <v>113</v>
      </c>
      <c r="H13" t="s">
        <v>32</v>
      </c>
      <c r="I13" t="s">
        <v>29</v>
      </c>
      <c r="K13" t="str">
        <v>No discount</v>
      </c>
      <c r="L13" t="str">
        <v>Nothing</v>
      </c>
      <c r="Q13" s="42" t="s">
        <v>136</v>
      </c>
      <c r="R13" s="42"/>
      <c r="S13" s="42"/>
      <c r="T13" s="42"/>
      <c r="U13" s="42"/>
      <c r="V13" s="42"/>
      <c r="W13" s="25"/>
      <c r="X13" s="25"/>
      <c r="Y13" s="25"/>
      <c r="Z13" s="25"/>
      <c r="AA13" s="25"/>
    </row>
    <row r="14" spans="1:30" x14ac:dyDescent="0.25">
      <c r="A14">
        <v>10463</v>
      </c>
      <c r="B14" t="s">
        <v>30</v>
      </c>
      <c r="C14" t="s">
        <v>15</v>
      </c>
      <c r="D14" s="9">
        <v>2.95</v>
      </c>
      <c r="E14">
        <v>677.97</v>
      </c>
      <c r="F14" t="s">
        <v>111</v>
      </c>
      <c r="G14" t="s">
        <v>113</v>
      </c>
      <c r="H14" t="s">
        <v>32</v>
      </c>
      <c r="I14" t="s">
        <v>29</v>
      </c>
      <c r="K14" t="str">
        <v>No discount</v>
      </c>
      <c r="L14" t="str">
        <v>Nothing</v>
      </c>
      <c r="N14" s="38" t="s">
        <v>143</v>
      </c>
      <c r="O14" s="38"/>
      <c r="R14" t="s">
        <v>26</v>
      </c>
      <c r="S14" t="s">
        <v>21</v>
      </c>
      <c r="T14" t="s">
        <v>14</v>
      </c>
      <c r="U14" t="s">
        <v>17</v>
      </c>
      <c r="V14" t="s">
        <v>29</v>
      </c>
    </row>
    <row r="15" spans="1:30" ht="15.75" x14ac:dyDescent="0.25">
      <c r="A15">
        <v>10464</v>
      </c>
      <c r="B15" t="s">
        <v>30</v>
      </c>
      <c r="C15" t="s">
        <v>18</v>
      </c>
      <c r="D15" s="9">
        <v>4.99</v>
      </c>
      <c r="E15">
        <v>200.4</v>
      </c>
      <c r="F15" t="s">
        <v>111</v>
      </c>
      <c r="G15" t="s">
        <v>113</v>
      </c>
      <c r="H15" t="s">
        <v>33</v>
      </c>
      <c r="I15" t="s">
        <v>29</v>
      </c>
      <c r="K15" t="str">
        <v>No discount</v>
      </c>
      <c r="L15" t="str">
        <v>Nothing</v>
      </c>
      <c r="N15" s="7" t="s">
        <v>124</v>
      </c>
      <c r="O15" s="10">
        <f>COUNTIFS(G4:G257,O3, F4:F257, W30)</f>
        <v>47</v>
      </c>
      <c r="Q15" s="7" t="s">
        <v>137</v>
      </c>
      <c r="R15" s="10">
        <f>VLOOKUP(R14, Totals_by_City, 2,FALSE)</f>
        <v>206.22</v>
      </c>
      <c r="S15" s="10">
        <f>VLOOKUP(S14, Totals_by_City, 2,FALSE)</f>
        <v>546.62000000000012</v>
      </c>
      <c r="T15" s="10">
        <f>VLOOKUP(T14, Totals_by_City, 2,FALSE)</f>
        <v>521.05000000000007</v>
      </c>
      <c r="U15" s="10">
        <f>VLOOKUP(U14, Totals_by_City, 2,FALSE)</f>
        <v>331.82000000000005</v>
      </c>
      <c r="V15" s="10">
        <f>VLOOKUP(V14, Totals_by_City, 2,FALSE)</f>
        <v>198.28</v>
      </c>
    </row>
    <row r="16" spans="1:30" ht="15.75" x14ac:dyDescent="0.25">
      <c r="A16">
        <v>10465</v>
      </c>
      <c r="B16" t="s">
        <v>34</v>
      </c>
      <c r="C16" t="s">
        <v>23</v>
      </c>
      <c r="D16" s="9">
        <v>12.99</v>
      </c>
      <c r="E16">
        <v>554.27</v>
      </c>
      <c r="F16" t="s">
        <v>111</v>
      </c>
      <c r="G16" t="s">
        <v>113</v>
      </c>
      <c r="H16" t="s">
        <v>35</v>
      </c>
      <c r="I16" t="s">
        <v>17</v>
      </c>
      <c r="K16" t="str">
        <v>No discount</v>
      </c>
      <c r="L16" t="str">
        <v>Free Beverages</v>
      </c>
      <c r="Q16" s="7" t="s">
        <v>138</v>
      </c>
      <c r="R16" s="10">
        <f>INDEX(Table3[Total Orders(COUNTIF)], MATCH(R14, Table3[City], 0))</f>
        <v>30</v>
      </c>
      <c r="S16" s="10">
        <f>INDEX(Table3[Total Orders(COUNTIF)], MATCH(S14, Table3[City], 0))</f>
        <v>75</v>
      </c>
      <c r="T16" s="10">
        <f>INDEX(Table3[Total Orders(COUNTIF)], MATCH(T14, Table3[City], 0))</f>
        <v>75</v>
      </c>
      <c r="U16" s="10">
        <f>INDEX(Table3[Total Orders(COUNTIF)], MATCH(U14, Table3[City], 0))</f>
        <v>46</v>
      </c>
      <c r="V16" s="10">
        <f>INDEX(Table3[Total Orders(COUNTIF)], MATCH(U14, Table3[City], 0))</f>
        <v>46</v>
      </c>
      <c r="AB16" s="13"/>
    </row>
    <row r="17" spans="1:26" x14ac:dyDescent="0.25">
      <c r="A17">
        <v>10466</v>
      </c>
      <c r="B17" t="s">
        <v>34</v>
      </c>
      <c r="C17" t="s">
        <v>27</v>
      </c>
      <c r="D17" s="9">
        <v>9.9499999999999993</v>
      </c>
      <c r="E17">
        <v>201.01</v>
      </c>
      <c r="F17" t="s">
        <v>111</v>
      </c>
      <c r="G17" t="s">
        <v>113</v>
      </c>
      <c r="H17" t="s">
        <v>35</v>
      </c>
      <c r="I17" t="s">
        <v>17</v>
      </c>
      <c r="K17" t="str">
        <v>No discount</v>
      </c>
      <c r="L17" t="str">
        <v>Nothing</v>
      </c>
    </row>
    <row r="18" spans="1:26" ht="15.75" x14ac:dyDescent="0.25">
      <c r="A18">
        <v>10467</v>
      </c>
      <c r="B18" t="s">
        <v>34</v>
      </c>
      <c r="C18" t="s">
        <v>10</v>
      </c>
      <c r="D18" s="9">
        <v>3.49</v>
      </c>
      <c r="E18">
        <v>573.07000000000005</v>
      </c>
      <c r="F18" t="s">
        <v>111</v>
      </c>
      <c r="G18" t="s">
        <v>113</v>
      </c>
      <c r="H18" t="s">
        <v>35</v>
      </c>
      <c r="I18" t="s">
        <v>17</v>
      </c>
      <c r="K18" t="str">
        <v>No discount</v>
      </c>
      <c r="L18" t="str">
        <v>Nothing</v>
      </c>
      <c r="N18" s="41" t="s">
        <v>156</v>
      </c>
      <c r="O18" s="41"/>
      <c r="P18" s="41"/>
      <c r="Q18" s="41"/>
      <c r="R18" s="26"/>
    </row>
    <row r="19" spans="1:26" x14ac:dyDescent="0.25">
      <c r="A19">
        <v>10468</v>
      </c>
      <c r="B19" t="s">
        <v>34</v>
      </c>
      <c r="C19" t="s">
        <v>15</v>
      </c>
      <c r="D19" s="9">
        <v>2.95</v>
      </c>
      <c r="E19">
        <v>677.97</v>
      </c>
      <c r="F19" t="s">
        <v>111</v>
      </c>
      <c r="G19" t="s">
        <v>113</v>
      </c>
      <c r="H19" t="s">
        <v>16</v>
      </c>
      <c r="I19" t="s">
        <v>17</v>
      </c>
      <c r="K19" t="str">
        <v>No discount</v>
      </c>
      <c r="L19" t="str">
        <v>Nothing</v>
      </c>
      <c r="N19" s="38" t="s">
        <v>184</v>
      </c>
      <c r="O19" s="38"/>
      <c r="P19" s="38"/>
      <c r="Q19" s="22" t="s">
        <v>185</v>
      </c>
    </row>
    <row r="20" spans="1:26" ht="15.75" x14ac:dyDescent="0.25">
      <c r="A20">
        <v>10470</v>
      </c>
      <c r="B20" t="s">
        <v>36</v>
      </c>
      <c r="C20" t="s">
        <v>23</v>
      </c>
      <c r="D20" s="9">
        <v>12.99</v>
      </c>
      <c r="E20">
        <v>554.27</v>
      </c>
      <c r="F20" t="s">
        <v>111</v>
      </c>
      <c r="G20" t="s">
        <v>113</v>
      </c>
      <c r="H20" t="s">
        <v>16</v>
      </c>
      <c r="I20" t="s">
        <v>17</v>
      </c>
      <c r="K20" t="str">
        <v>No discount</v>
      </c>
      <c r="L20" t="str">
        <v>Free Beverages</v>
      </c>
      <c r="N20" s="7" t="s">
        <v>125</v>
      </c>
      <c r="O20" s="7" t="s">
        <v>126</v>
      </c>
      <c r="P20" s="7" t="s">
        <v>127</v>
      </c>
      <c r="Q20" s="7" t="s">
        <v>128</v>
      </c>
    </row>
    <row r="21" spans="1:26" x14ac:dyDescent="0.25">
      <c r="A21">
        <v>10471</v>
      </c>
      <c r="B21" t="s">
        <v>36</v>
      </c>
      <c r="C21" t="s">
        <v>27</v>
      </c>
      <c r="D21" s="9">
        <v>9.9499999999999993</v>
      </c>
      <c r="E21">
        <v>201.01</v>
      </c>
      <c r="F21" t="s">
        <v>111</v>
      </c>
      <c r="G21" t="s">
        <v>113</v>
      </c>
      <c r="H21" t="s">
        <v>16</v>
      </c>
      <c r="I21" t="s">
        <v>17</v>
      </c>
      <c r="K21" t="str">
        <v>No discount</v>
      </c>
      <c r="L21" t="str">
        <v>Nothing</v>
      </c>
      <c r="N21" s="10" t="str">
        <f>LEFT(B4, 2)</f>
        <v>07</v>
      </c>
      <c r="O21" s="10" t="str">
        <f>RIGHT(B4, 4)</f>
        <v>2022</v>
      </c>
      <c r="P21" s="10" t="str">
        <f>MID(B4, 4, 2)</f>
        <v>11</v>
      </c>
      <c r="Q21" s="10">
        <f>LEN(B4)</f>
        <v>10</v>
      </c>
    </row>
    <row r="22" spans="1:26" x14ac:dyDescent="0.25">
      <c r="A22">
        <v>10472</v>
      </c>
      <c r="B22" t="s">
        <v>36</v>
      </c>
      <c r="C22" t="s">
        <v>10</v>
      </c>
      <c r="D22" s="9">
        <v>3.49</v>
      </c>
      <c r="E22">
        <v>630.37</v>
      </c>
      <c r="F22" t="s">
        <v>111</v>
      </c>
      <c r="G22" t="s">
        <v>113</v>
      </c>
      <c r="H22" t="s">
        <v>37</v>
      </c>
      <c r="I22" t="s">
        <v>17</v>
      </c>
      <c r="K22" t="str">
        <v>No discount</v>
      </c>
      <c r="L22" t="str">
        <v>Nothing</v>
      </c>
    </row>
    <row r="23" spans="1:26" x14ac:dyDescent="0.25">
      <c r="A23">
        <v>10473</v>
      </c>
      <c r="B23" t="s">
        <v>36</v>
      </c>
      <c r="C23" t="s">
        <v>15</v>
      </c>
      <c r="D23" s="9">
        <v>2.95</v>
      </c>
      <c r="E23">
        <v>677.97</v>
      </c>
      <c r="F23" t="s">
        <v>111</v>
      </c>
      <c r="G23" t="s">
        <v>113</v>
      </c>
      <c r="H23" t="s">
        <v>16</v>
      </c>
      <c r="I23" t="s">
        <v>17</v>
      </c>
      <c r="K23" t="str">
        <v>No discount</v>
      </c>
      <c r="L23" t="str">
        <v>Nothing</v>
      </c>
    </row>
    <row r="24" spans="1:26" x14ac:dyDescent="0.25">
      <c r="A24">
        <v>10474</v>
      </c>
      <c r="B24" t="s">
        <v>36</v>
      </c>
      <c r="C24" t="s">
        <v>18</v>
      </c>
      <c r="D24" s="9">
        <v>4.99</v>
      </c>
      <c r="E24">
        <v>200.4</v>
      </c>
      <c r="F24" t="s">
        <v>111</v>
      </c>
      <c r="G24" t="s">
        <v>113</v>
      </c>
      <c r="H24" t="s">
        <v>16</v>
      </c>
      <c r="I24" t="s">
        <v>17</v>
      </c>
      <c r="K24" t="str">
        <v>No discount</v>
      </c>
      <c r="L24" t="str">
        <v>Nothing</v>
      </c>
    </row>
    <row r="25" spans="1:26" x14ac:dyDescent="0.25">
      <c r="A25">
        <v>10475</v>
      </c>
      <c r="B25" t="s">
        <v>38</v>
      </c>
      <c r="C25" t="s">
        <v>23</v>
      </c>
      <c r="D25" s="9">
        <v>12.99</v>
      </c>
      <c r="E25">
        <v>523.48</v>
      </c>
      <c r="F25" t="s">
        <v>111</v>
      </c>
      <c r="G25" t="s">
        <v>113</v>
      </c>
      <c r="H25" t="s">
        <v>16</v>
      </c>
      <c r="I25" t="s">
        <v>17</v>
      </c>
      <c r="K25" t="str">
        <v>No discount</v>
      </c>
      <c r="L25" t="str">
        <v>Free Beverages</v>
      </c>
      <c r="N25" s="15" t="s">
        <v>145</v>
      </c>
      <c r="O25" s="15" t="s">
        <v>146</v>
      </c>
      <c r="P25" s="15" t="s">
        <v>140</v>
      </c>
      <c r="Q25" s="17" t="s">
        <v>141</v>
      </c>
    </row>
    <row r="26" spans="1:26" ht="15.75" x14ac:dyDescent="0.25">
      <c r="A26">
        <v>10476</v>
      </c>
      <c r="B26" t="s">
        <v>38</v>
      </c>
      <c r="C26" t="s">
        <v>27</v>
      </c>
      <c r="D26" s="9">
        <v>9.9499999999999993</v>
      </c>
      <c r="E26">
        <v>201.01</v>
      </c>
      <c r="F26" t="s">
        <v>111</v>
      </c>
      <c r="G26" t="s">
        <v>113</v>
      </c>
      <c r="H26" t="s">
        <v>35</v>
      </c>
      <c r="I26" t="s">
        <v>17</v>
      </c>
      <c r="K26" t="str">
        <v>No discount</v>
      </c>
      <c r="L26" t="str">
        <v>Nothing</v>
      </c>
      <c r="N26" s="7" t="s">
        <v>130</v>
      </c>
      <c r="O26" s="7" t="s">
        <v>129</v>
      </c>
      <c r="P26" s="7" t="s">
        <v>131</v>
      </c>
      <c r="Q26" s="7" t="s">
        <v>157</v>
      </c>
    </row>
    <row r="27" spans="1:26" ht="90" x14ac:dyDescent="0.25">
      <c r="A27">
        <v>10477</v>
      </c>
      <c r="B27" t="s">
        <v>38</v>
      </c>
      <c r="C27" t="s">
        <v>10</v>
      </c>
      <c r="D27" s="9">
        <v>3.49</v>
      </c>
      <c r="E27">
        <v>630.37</v>
      </c>
      <c r="F27" t="s">
        <v>111</v>
      </c>
      <c r="G27" t="s">
        <v>113</v>
      </c>
      <c r="H27" t="s">
        <v>39</v>
      </c>
      <c r="I27" t="s">
        <v>17</v>
      </c>
      <c r="K27" t="str">
        <v>No discount</v>
      </c>
      <c r="L27" t="str">
        <v>Nothing</v>
      </c>
      <c r="N27" s="23" t="s">
        <v>186</v>
      </c>
      <c r="O27" s="24" t="s">
        <v>187</v>
      </c>
      <c r="P27" s="23" t="s">
        <v>188</v>
      </c>
      <c r="Q27" s="23" t="s">
        <v>189</v>
      </c>
    </row>
    <row r="28" spans="1:26" x14ac:dyDescent="0.25">
      <c r="A28">
        <v>10478</v>
      </c>
      <c r="B28" t="s">
        <v>38</v>
      </c>
      <c r="C28" t="s">
        <v>15</v>
      </c>
      <c r="D28" s="9">
        <v>2.95</v>
      </c>
      <c r="E28">
        <v>677.97</v>
      </c>
      <c r="F28" t="s">
        <v>111</v>
      </c>
      <c r="G28" t="s">
        <v>113</v>
      </c>
      <c r="H28" t="s">
        <v>35</v>
      </c>
      <c r="I28" t="s">
        <v>17</v>
      </c>
      <c r="K28" t="str">
        <v>No discount</v>
      </c>
      <c r="L28" t="str">
        <v>Nothing</v>
      </c>
      <c r="N28" s="10">
        <f>SEARCH("aPPlE", N25)</f>
        <v>15</v>
      </c>
      <c r="O28" s="10">
        <f>FIND("apple", O25)</f>
        <v>5</v>
      </c>
      <c r="P28" s="10" t="str">
        <f>REPLACE(P25, 1, 4, "Gift")</f>
        <v>Gift Card</v>
      </c>
      <c r="Q28" s="11">
        <f>VALUE(SUBSTITUTE(Q25, "S ", ""))</f>
        <v>2399.98</v>
      </c>
    </row>
    <row r="29" spans="1:26" x14ac:dyDescent="0.25">
      <c r="A29">
        <v>10479</v>
      </c>
      <c r="B29" t="s">
        <v>38</v>
      </c>
      <c r="C29" t="s">
        <v>18</v>
      </c>
      <c r="D29" s="9">
        <v>4.99</v>
      </c>
      <c r="E29">
        <v>200.4</v>
      </c>
      <c r="F29" t="s">
        <v>111</v>
      </c>
      <c r="G29" t="s">
        <v>113</v>
      </c>
      <c r="H29" t="s">
        <v>40</v>
      </c>
      <c r="I29" t="s">
        <v>17</v>
      </c>
      <c r="K29" t="str">
        <v>No discount</v>
      </c>
      <c r="L29" t="str">
        <v>Nothing</v>
      </c>
      <c r="W29" s="39" t="s">
        <v>175</v>
      </c>
      <c r="X29" s="39"/>
      <c r="Y29" s="39"/>
    </row>
    <row r="30" spans="1:26" x14ac:dyDescent="0.25">
      <c r="A30">
        <v>10480</v>
      </c>
      <c r="B30" t="s">
        <v>41</v>
      </c>
      <c r="C30" t="s">
        <v>23</v>
      </c>
      <c r="D30" s="9">
        <v>12.99</v>
      </c>
      <c r="E30">
        <v>508.08</v>
      </c>
      <c r="F30" t="s">
        <v>111</v>
      </c>
      <c r="G30" t="s">
        <v>113</v>
      </c>
      <c r="H30" t="s">
        <v>35</v>
      </c>
      <c r="I30" t="s">
        <v>17</v>
      </c>
      <c r="K30" t="str">
        <v>No discount</v>
      </c>
      <c r="L30" t="str">
        <v>Free Beverages</v>
      </c>
      <c r="S30" t="s">
        <v>8</v>
      </c>
      <c r="T30" t="s">
        <v>173</v>
      </c>
      <c r="U30" t="s">
        <v>174</v>
      </c>
      <c r="W30" s="15" t="s">
        <v>110</v>
      </c>
      <c r="X30" s="16">
        <v>44562</v>
      </c>
      <c r="Y30" s="16">
        <v>44592</v>
      </c>
      <c r="Z30" s="14"/>
    </row>
    <row r="31" spans="1:26" x14ac:dyDescent="0.25">
      <c r="A31">
        <v>10481</v>
      </c>
      <c r="B31" t="s">
        <v>41</v>
      </c>
      <c r="C31" t="s">
        <v>27</v>
      </c>
      <c r="D31" s="9">
        <v>9.9499999999999993</v>
      </c>
      <c r="E31">
        <v>201.01</v>
      </c>
      <c r="F31" t="s">
        <v>111</v>
      </c>
      <c r="G31" t="s">
        <v>113</v>
      </c>
      <c r="H31" t="s">
        <v>35</v>
      </c>
      <c r="I31" t="s">
        <v>17</v>
      </c>
      <c r="K31" t="str">
        <v>No discount</v>
      </c>
      <c r="L31" t="str">
        <v>Nothing</v>
      </c>
      <c r="S31" t="s">
        <v>26</v>
      </c>
      <c r="T31" s="9">
        <f>SUMIF(City, S31, Price)</f>
        <v>206.22</v>
      </c>
      <c r="U31">
        <f>COUNTIF(City,S31)</f>
        <v>30</v>
      </c>
      <c r="X31" s="16">
        <v>44563</v>
      </c>
      <c r="Y31" s="16">
        <v>44593</v>
      </c>
    </row>
    <row r="32" spans="1:26" x14ac:dyDescent="0.25">
      <c r="A32">
        <v>10482</v>
      </c>
      <c r="B32" t="s">
        <v>41</v>
      </c>
      <c r="C32" t="s">
        <v>10</v>
      </c>
      <c r="D32" s="9">
        <v>25.5</v>
      </c>
      <c r="E32">
        <v>630.37</v>
      </c>
      <c r="F32" t="s">
        <v>111</v>
      </c>
      <c r="G32" t="s">
        <v>113</v>
      </c>
      <c r="H32" t="s">
        <v>42</v>
      </c>
      <c r="I32" t="s">
        <v>21</v>
      </c>
      <c r="K32" t="str">
        <v>5% discount</v>
      </c>
      <c r="L32" t="str">
        <v>Free Beverages</v>
      </c>
      <c r="O32">
        <v>30</v>
      </c>
      <c r="P32">
        <v>20</v>
      </c>
      <c r="S32" t="s">
        <v>21</v>
      </c>
      <c r="T32" s="9">
        <f>SUMIF(City, S32, Price)</f>
        <v>546.62000000000012</v>
      </c>
      <c r="U32">
        <f>COUNTIF(City,S32)</f>
        <v>75</v>
      </c>
      <c r="W32" s="15" t="s">
        <v>115</v>
      </c>
      <c r="X32" s="16">
        <v>44564</v>
      </c>
      <c r="Y32" s="16">
        <v>44594</v>
      </c>
    </row>
    <row r="33" spans="1:25" x14ac:dyDescent="0.25">
      <c r="A33">
        <v>10486</v>
      </c>
      <c r="B33" t="s">
        <v>43</v>
      </c>
      <c r="C33" t="s">
        <v>27</v>
      </c>
      <c r="D33" s="9">
        <v>29.05</v>
      </c>
      <c r="E33">
        <v>201.01</v>
      </c>
      <c r="F33" t="s">
        <v>111</v>
      </c>
      <c r="G33" t="s">
        <v>113</v>
      </c>
      <c r="H33" t="s">
        <v>20</v>
      </c>
      <c r="I33" t="s">
        <v>21</v>
      </c>
      <c r="K33" t="str">
        <v>5% discount</v>
      </c>
      <c r="L33" t="str">
        <v>Free Beverages</v>
      </c>
      <c r="P33" s="9"/>
      <c r="S33" t="s">
        <v>14</v>
      </c>
      <c r="T33" s="9">
        <f>SUMIF(City, S33, Price)</f>
        <v>521.05000000000007</v>
      </c>
      <c r="U33">
        <f>COUNTIF(City,S33)</f>
        <v>75</v>
      </c>
      <c r="X33" s="16">
        <v>44565</v>
      </c>
      <c r="Y33" s="16">
        <v>44595</v>
      </c>
    </row>
    <row r="34" spans="1:25" x14ac:dyDescent="0.25">
      <c r="A34">
        <v>10487</v>
      </c>
      <c r="B34" t="s">
        <v>43</v>
      </c>
      <c r="C34" t="s">
        <v>10</v>
      </c>
      <c r="D34" s="9">
        <v>3.49</v>
      </c>
      <c r="E34">
        <v>630.37</v>
      </c>
      <c r="F34" t="s">
        <v>111</v>
      </c>
      <c r="G34" t="s">
        <v>113</v>
      </c>
      <c r="H34" t="s">
        <v>42</v>
      </c>
      <c r="I34" t="s">
        <v>21</v>
      </c>
      <c r="K34" t="str">
        <v>No discount</v>
      </c>
      <c r="L34" t="str">
        <v>Nothing</v>
      </c>
      <c r="P34" s="9"/>
      <c r="S34" t="s">
        <v>17</v>
      </c>
      <c r="T34" s="9">
        <f>SUMIF(City, S34, Price)</f>
        <v>331.82000000000005</v>
      </c>
      <c r="U34">
        <f>COUNTIF(City,S34)</f>
        <v>46</v>
      </c>
      <c r="X34" s="16">
        <v>44566</v>
      </c>
      <c r="Y34" s="16">
        <v>44596</v>
      </c>
    </row>
    <row r="35" spans="1:25" x14ac:dyDescent="0.25">
      <c r="A35">
        <v>10488</v>
      </c>
      <c r="B35" t="s">
        <v>43</v>
      </c>
      <c r="C35" t="s">
        <v>15</v>
      </c>
      <c r="D35" s="9">
        <v>2.95</v>
      </c>
      <c r="E35">
        <v>677.97</v>
      </c>
      <c r="F35" t="s">
        <v>111</v>
      </c>
      <c r="G35" t="s">
        <v>113</v>
      </c>
      <c r="H35" t="s">
        <v>42</v>
      </c>
      <c r="I35" t="s">
        <v>21</v>
      </c>
      <c r="K35" t="str">
        <v>No discount</v>
      </c>
      <c r="L35" t="str">
        <v>Nothing</v>
      </c>
      <c r="S35" t="s">
        <v>29</v>
      </c>
      <c r="T35" s="9">
        <f>SUMIF(City, S35, Price)</f>
        <v>198.28</v>
      </c>
      <c r="U35">
        <f>COUNTIF(City,S35)</f>
        <v>28</v>
      </c>
      <c r="X35" s="16">
        <v>44567</v>
      </c>
      <c r="Y35" s="16">
        <v>44597</v>
      </c>
    </row>
    <row r="36" spans="1:25" x14ac:dyDescent="0.25">
      <c r="A36">
        <v>10489</v>
      </c>
      <c r="B36" t="s">
        <v>43</v>
      </c>
      <c r="C36" t="s">
        <v>18</v>
      </c>
      <c r="D36" s="9">
        <v>4.99</v>
      </c>
      <c r="E36">
        <v>200.4</v>
      </c>
      <c r="F36" t="s">
        <v>111</v>
      </c>
      <c r="G36" t="s">
        <v>113</v>
      </c>
      <c r="H36" t="s">
        <v>35</v>
      </c>
      <c r="I36" t="s">
        <v>17</v>
      </c>
      <c r="K36" t="str">
        <v>No discount</v>
      </c>
      <c r="L36" t="str">
        <v>Nothing</v>
      </c>
    </row>
    <row r="37" spans="1:25" x14ac:dyDescent="0.25">
      <c r="A37">
        <v>10490</v>
      </c>
      <c r="B37" t="s">
        <v>44</v>
      </c>
      <c r="C37" t="s">
        <v>23</v>
      </c>
      <c r="D37" s="9">
        <v>12.99</v>
      </c>
      <c r="E37">
        <v>508.08</v>
      </c>
      <c r="F37" t="s">
        <v>111</v>
      </c>
      <c r="G37" t="s">
        <v>113</v>
      </c>
      <c r="H37" t="s">
        <v>35</v>
      </c>
      <c r="I37" t="s">
        <v>17</v>
      </c>
      <c r="K37" t="str">
        <v>No discount</v>
      </c>
      <c r="L37" t="str">
        <v>Free Beverages</v>
      </c>
    </row>
    <row r="38" spans="1:25" x14ac:dyDescent="0.25">
      <c r="A38">
        <v>10491</v>
      </c>
      <c r="B38" t="s">
        <v>44</v>
      </c>
      <c r="C38" t="s">
        <v>27</v>
      </c>
      <c r="D38" s="9">
        <v>9.9499999999999993</v>
      </c>
      <c r="E38">
        <v>201.01</v>
      </c>
      <c r="F38" t="s">
        <v>111</v>
      </c>
      <c r="G38" t="s">
        <v>113</v>
      </c>
      <c r="H38" t="s">
        <v>35</v>
      </c>
      <c r="I38" t="s">
        <v>17</v>
      </c>
      <c r="K38" t="str">
        <v>No discount</v>
      </c>
      <c r="L38" t="str">
        <v>Nothing</v>
      </c>
    </row>
    <row r="39" spans="1:25" x14ac:dyDescent="0.25">
      <c r="A39">
        <v>10492</v>
      </c>
      <c r="B39" t="s">
        <v>44</v>
      </c>
      <c r="C39" t="s">
        <v>10</v>
      </c>
      <c r="D39" s="9">
        <v>3.49</v>
      </c>
      <c r="E39">
        <v>573.07000000000005</v>
      </c>
      <c r="F39" t="s">
        <v>111</v>
      </c>
      <c r="G39" t="s">
        <v>113</v>
      </c>
      <c r="H39" t="s">
        <v>35</v>
      </c>
      <c r="I39" t="s">
        <v>17</v>
      </c>
      <c r="K39" t="str">
        <v>No discount</v>
      </c>
      <c r="L39" t="str">
        <v>Nothing</v>
      </c>
    </row>
    <row r="40" spans="1:25" x14ac:dyDescent="0.25">
      <c r="A40">
        <v>10493</v>
      </c>
      <c r="B40" t="s">
        <v>44</v>
      </c>
      <c r="C40" t="s">
        <v>15</v>
      </c>
      <c r="D40" s="9">
        <v>2.95</v>
      </c>
      <c r="E40">
        <v>677.97</v>
      </c>
      <c r="F40" t="s">
        <v>111</v>
      </c>
      <c r="G40" t="s">
        <v>113</v>
      </c>
      <c r="H40" t="s">
        <v>35</v>
      </c>
      <c r="I40" t="s">
        <v>17</v>
      </c>
      <c r="K40" t="str">
        <v>No discount</v>
      </c>
      <c r="L40" t="str">
        <v>Nothing</v>
      </c>
    </row>
    <row r="41" spans="1:25" x14ac:dyDescent="0.25">
      <c r="A41">
        <v>10494</v>
      </c>
      <c r="B41" t="s">
        <v>44</v>
      </c>
      <c r="C41" t="s">
        <v>18</v>
      </c>
      <c r="D41" s="9">
        <v>4.99</v>
      </c>
      <c r="E41">
        <v>200.4</v>
      </c>
      <c r="F41" t="s">
        <v>111</v>
      </c>
      <c r="G41" t="s">
        <v>113</v>
      </c>
      <c r="H41" t="s">
        <v>35</v>
      </c>
      <c r="I41" t="s">
        <v>17</v>
      </c>
      <c r="K41" t="str">
        <v>No discount</v>
      </c>
      <c r="L41" t="str">
        <v>Nothing</v>
      </c>
    </row>
    <row r="42" spans="1:25" x14ac:dyDescent="0.25">
      <c r="A42">
        <v>10495</v>
      </c>
      <c r="B42" t="s">
        <v>45</v>
      </c>
      <c r="C42" t="s">
        <v>23</v>
      </c>
      <c r="D42" s="9">
        <v>12.99</v>
      </c>
      <c r="E42">
        <v>508.08</v>
      </c>
      <c r="F42" t="s">
        <v>111</v>
      </c>
      <c r="G42" t="s">
        <v>113</v>
      </c>
      <c r="H42" t="s">
        <v>35</v>
      </c>
      <c r="I42" t="s">
        <v>17</v>
      </c>
      <c r="K42" t="str">
        <v>No discount</v>
      </c>
      <c r="L42" t="str">
        <v>Free Beverages</v>
      </c>
    </row>
    <row r="43" spans="1:25" x14ac:dyDescent="0.25">
      <c r="A43">
        <v>10496</v>
      </c>
      <c r="B43" t="s">
        <v>45</v>
      </c>
      <c r="C43" t="s">
        <v>27</v>
      </c>
      <c r="D43" s="9">
        <v>9.9499999999999993</v>
      </c>
      <c r="E43">
        <v>201.01</v>
      </c>
      <c r="F43" t="s">
        <v>111</v>
      </c>
      <c r="G43" t="s">
        <v>113</v>
      </c>
      <c r="H43" t="s">
        <v>35</v>
      </c>
      <c r="I43" t="s">
        <v>17</v>
      </c>
      <c r="K43" t="str">
        <v>No discount</v>
      </c>
      <c r="L43" t="str">
        <v>Nothing</v>
      </c>
    </row>
    <row r="44" spans="1:25" x14ac:dyDescent="0.25">
      <c r="A44">
        <v>10497</v>
      </c>
      <c r="B44" t="s">
        <v>45</v>
      </c>
      <c r="C44" t="s">
        <v>10</v>
      </c>
      <c r="D44" s="9">
        <v>3.49</v>
      </c>
      <c r="E44">
        <v>573.07000000000005</v>
      </c>
      <c r="F44" t="s">
        <v>111</v>
      </c>
      <c r="G44" t="s">
        <v>113</v>
      </c>
      <c r="H44" t="s">
        <v>35</v>
      </c>
      <c r="I44" t="s">
        <v>17</v>
      </c>
      <c r="K44" t="str">
        <v>No discount</v>
      </c>
      <c r="L44" t="str">
        <v>Nothing</v>
      </c>
    </row>
    <row r="45" spans="1:25" x14ac:dyDescent="0.25">
      <c r="A45">
        <v>10498</v>
      </c>
      <c r="B45" t="s">
        <v>45</v>
      </c>
      <c r="C45" t="s">
        <v>15</v>
      </c>
      <c r="D45" s="9">
        <v>2.95</v>
      </c>
      <c r="E45">
        <v>677.97</v>
      </c>
      <c r="F45" t="s">
        <v>112</v>
      </c>
      <c r="G45" t="s">
        <v>113</v>
      </c>
      <c r="H45" t="s">
        <v>35</v>
      </c>
      <c r="I45" t="s">
        <v>17</v>
      </c>
      <c r="K45" t="str">
        <v>No discount</v>
      </c>
      <c r="L45" t="str">
        <v>Nothing</v>
      </c>
    </row>
    <row r="46" spans="1:25" x14ac:dyDescent="0.25">
      <c r="A46">
        <v>10499</v>
      </c>
      <c r="B46" t="s">
        <v>45</v>
      </c>
      <c r="C46" t="s">
        <v>18</v>
      </c>
      <c r="D46" s="9">
        <v>4.99</v>
      </c>
      <c r="E46">
        <v>200.4</v>
      </c>
      <c r="F46" t="s">
        <v>112</v>
      </c>
      <c r="G46" t="s">
        <v>113</v>
      </c>
      <c r="H46" t="s">
        <v>35</v>
      </c>
      <c r="I46" t="s">
        <v>17</v>
      </c>
      <c r="K46" t="str">
        <v>No discount</v>
      </c>
      <c r="L46" t="str">
        <v>Nothing</v>
      </c>
    </row>
    <row r="47" spans="1:25" x14ac:dyDescent="0.25">
      <c r="A47">
        <v>10500</v>
      </c>
      <c r="B47" t="s">
        <v>47</v>
      </c>
      <c r="C47" t="s">
        <v>23</v>
      </c>
      <c r="D47" s="9">
        <v>12.99</v>
      </c>
      <c r="E47">
        <v>523.48</v>
      </c>
      <c r="F47" t="s">
        <v>112</v>
      </c>
      <c r="G47" t="s">
        <v>113</v>
      </c>
      <c r="H47" t="s">
        <v>35</v>
      </c>
      <c r="I47" t="s">
        <v>17</v>
      </c>
      <c r="K47" t="str">
        <v>No discount</v>
      </c>
      <c r="L47" t="str">
        <v>Free Beverages</v>
      </c>
    </row>
    <row r="48" spans="1:25" x14ac:dyDescent="0.25">
      <c r="A48">
        <v>10501</v>
      </c>
      <c r="B48" t="s">
        <v>47</v>
      </c>
      <c r="C48" t="s">
        <v>27</v>
      </c>
      <c r="D48" s="9">
        <v>9.9499999999999993</v>
      </c>
      <c r="E48">
        <v>201.01</v>
      </c>
      <c r="F48" t="s">
        <v>112</v>
      </c>
      <c r="G48" t="s">
        <v>113</v>
      </c>
      <c r="H48" t="s">
        <v>35</v>
      </c>
      <c r="I48" t="s">
        <v>17</v>
      </c>
      <c r="K48" t="str">
        <v>No discount</v>
      </c>
      <c r="L48" t="str">
        <v>Nothing</v>
      </c>
    </row>
    <row r="49" spans="1:12" x14ac:dyDescent="0.25">
      <c r="A49">
        <v>10502</v>
      </c>
      <c r="B49" t="s">
        <v>47</v>
      </c>
      <c r="C49" t="s">
        <v>10</v>
      </c>
      <c r="D49" s="9">
        <v>3.49</v>
      </c>
      <c r="E49">
        <v>630.37</v>
      </c>
      <c r="F49" t="s">
        <v>112</v>
      </c>
      <c r="G49" t="s">
        <v>113</v>
      </c>
      <c r="H49" t="s">
        <v>35</v>
      </c>
      <c r="I49" t="s">
        <v>17</v>
      </c>
      <c r="K49" t="str">
        <v>No discount</v>
      </c>
      <c r="L49" t="str">
        <v>Nothing</v>
      </c>
    </row>
    <row r="50" spans="1:12" x14ac:dyDescent="0.25">
      <c r="A50">
        <v>10503</v>
      </c>
      <c r="B50" t="s">
        <v>47</v>
      </c>
      <c r="C50" t="s">
        <v>15</v>
      </c>
      <c r="D50" s="9">
        <v>2.95</v>
      </c>
      <c r="E50">
        <v>677.97</v>
      </c>
      <c r="F50" t="s">
        <v>112</v>
      </c>
      <c r="G50" t="s">
        <v>113</v>
      </c>
      <c r="H50" t="s">
        <v>35</v>
      </c>
      <c r="I50" t="s">
        <v>17</v>
      </c>
      <c r="K50" t="str">
        <v>No discount</v>
      </c>
      <c r="L50" t="str">
        <v>Nothing</v>
      </c>
    </row>
    <row r="51" spans="1:12" x14ac:dyDescent="0.25">
      <c r="A51">
        <v>10504</v>
      </c>
      <c r="B51" t="s">
        <v>47</v>
      </c>
      <c r="C51" t="s">
        <v>18</v>
      </c>
      <c r="D51" s="9">
        <v>4.99</v>
      </c>
      <c r="E51">
        <v>200.4</v>
      </c>
      <c r="F51" t="s">
        <v>112</v>
      </c>
      <c r="G51" t="s">
        <v>113</v>
      </c>
      <c r="H51" t="s">
        <v>35</v>
      </c>
      <c r="I51" t="s">
        <v>17</v>
      </c>
      <c r="K51" t="str">
        <v>No discount</v>
      </c>
      <c r="L51" t="str">
        <v>Nothing</v>
      </c>
    </row>
    <row r="52" spans="1:12" x14ac:dyDescent="0.25">
      <c r="A52">
        <v>10505</v>
      </c>
      <c r="B52" t="s">
        <v>48</v>
      </c>
      <c r="C52" t="s">
        <v>23</v>
      </c>
      <c r="D52" s="9">
        <v>12.99</v>
      </c>
      <c r="E52">
        <v>538.88</v>
      </c>
      <c r="F52" t="s">
        <v>112</v>
      </c>
      <c r="G52" t="s">
        <v>113</v>
      </c>
      <c r="H52" t="s">
        <v>35</v>
      </c>
      <c r="I52" t="s">
        <v>17</v>
      </c>
      <c r="K52" t="str">
        <v>No discount</v>
      </c>
      <c r="L52" t="str">
        <v>Free Beverages</v>
      </c>
    </row>
    <row r="53" spans="1:12" x14ac:dyDescent="0.25">
      <c r="A53">
        <v>10506</v>
      </c>
      <c r="B53" t="s">
        <v>48</v>
      </c>
      <c r="C53" t="s">
        <v>27</v>
      </c>
      <c r="D53" s="9">
        <v>9.9499999999999993</v>
      </c>
      <c r="E53">
        <v>201.01</v>
      </c>
      <c r="F53" t="s">
        <v>112</v>
      </c>
      <c r="G53" t="s">
        <v>113</v>
      </c>
      <c r="H53" t="s">
        <v>35</v>
      </c>
      <c r="I53" t="s">
        <v>17</v>
      </c>
      <c r="K53" t="str">
        <v>No discount</v>
      </c>
      <c r="L53" t="str">
        <v>Nothing</v>
      </c>
    </row>
    <row r="54" spans="1:12" x14ac:dyDescent="0.25">
      <c r="A54">
        <v>10507</v>
      </c>
      <c r="B54" t="s">
        <v>48</v>
      </c>
      <c r="C54" t="s">
        <v>10</v>
      </c>
      <c r="D54" s="9">
        <v>3.49</v>
      </c>
      <c r="E54">
        <v>687.68</v>
      </c>
      <c r="F54" t="s">
        <v>112</v>
      </c>
      <c r="G54" t="s">
        <v>113</v>
      </c>
      <c r="H54" t="s">
        <v>35</v>
      </c>
      <c r="I54" t="s">
        <v>17</v>
      </c>
      <c r="K54" t="str">
        <v>No discount</v>
      </c>
      <c r="L54" t="str">
        <v>Nothing</v>
      </c>
    </row>
    <row r="55" spans="1:12" x14ac:dyDescent="0.25">
      <c r="A55">
        <v>10508</v>
      </c>
      <c r="B55" t="s">
        <v>48</v>
      </c>
      <c r="C55" t="s">
        <v>15</v>
      </c>
      <c r="D55" s="9">
        <v>2.95</v>
      </c>
      <c r="E55">
        <v>677.97</v>
      </c>
      <c r="F55" t="s">
        <v>112</v>
      </c>
      <c r="G55" t="s">
        <v>113</v>
      </c>
      <c r="H55" t="s">
        <v>35</v>
      </c>
      <c r="I55" t="s">
        <v>17</v>
      </c>
      <c r="K55" t="str">
        <v>No discount</v>
      </c>
      <c r="L55" t="str">
        <v>Nothing</v>
      </c>
    </row>
    <row r="56" spans="1:12" x14ac:dyDescent="0.25">
      <c r="A56">
        <v>10509</v>
      </c>
      <c r="B56" t="s">
        <v>48</v>
      </c>
      <c r="C56" t="s">
        <v>18</v>
      </c>
      <c r="D56" s="9">
        <v>4.99</v>
      </c>
      <c r="E56">
        <v>200.4</v>
      </c>
      <c r="F56" t="s">
        <v>112</v>
      </c>
      <c r="G56" t="s">
        <v>113</v>
      </c>
      <c r="H56" t="s">
        <v>35</v>
      </c>
      <c r="I56" t="s">
        <v>17</v>
      </c>
      <c r="K56" t="str">
        <v>No discount</v>
      </c>
      <c r="L56" t="str">
        <v>Nothing</v>
      </c>
    </row>
    <row r="57" spans="1:12" x14ac:dyDescent="0.25">
      <c r="A57">
        <v>10510</v>
      </c>
      <c r="B57" t="s">
        <v>49</v>
      </c>
      <c r="C57" t="s">
        <v>23</v>
      </c>
      <c r="D57" s="9">
        <v>12.99</v>
      </c>
      <c r="E57">
        <v>508.08</v>
      </c>
      <c r="F57" t="s">
        <v>112</v>
      </c>
      <c r="G57" t="s">
        <v>113</v>
      </c>
      <c r="H57" t="s">
        <v>35</v>
      </c>
      <c r="I57" t="s">
        <v>17</v>
      </c>
      <c r="K57" t="str">
        <v>No discount</v>
      </c>
      <c r="L57" t="str">
        <v>Free Beverages</v>
      </c>
    </row>
    <row r="58" spans="1:12" x14ac:dyDescent="0.25">
      <c r="A58">
        <v>10511</v>
      </c>
      <c r="B58" t="s">
        <v>49</v>
      </c>
      <c r="C58" t="s">
        <v>27</v>
      </c>
      <c r="D58" s="9">
        <v>9.9499999999999993</v>
      </c>
      <c r="E58">
        <v>201.01</v>
      </c>
      <c r="F58" t="s">
        <v>112</v>
      </c>
      <c r="G58" t="s">
        <v>113</v>
      </c>
      <c r="H58" t="s">
        <v>42</v>
      </c>
      <c r="I58" t="s">
        <v>21</v>
      </c>
      <c r="K58" t="str">
        <v>No discount</v>
      </c>
      <c r="L58" t="str">
        <v>Nothing</v>
      </c>
    </row>
    <row r="59" spans="1:12" x14ac:dyDescent="0.25">
      <c r="A59">
        <v>10512</v>
      </c>
      <c r="B59" t="s">
        <v>49</v>
      </c>
      <c r="C59" t="s">
        <v>10</v>
      </c>
      <c r="D59" s="9">
        <v>3.49</v>
      </c>
      <c r="E59">
        <v>687.68</v>
      </c>
      <c r="F59" t="s">
        <v>112</v>
      </c>
      <c r="G59" t="s">
        <v>113</v>
      </c>
      <c r="H59" t="s">
        <v>42</v>
      </c>
      <c r="I59" t="s">
        <v>21</v>
      </c>
      <c r="K59" t="str">
        <v>No discount</v>
      </c>
      <c r="L59" t="str">
        <v>Nothing</v>
      </c>
    </row>
    <row r="60" spans="1:12" x14ac:dyDescent="0.25">
      <c r="A60">
        <v>10513</v>
      </c>
      <c r="B60" t="s">
        <v>49</v>
      </c>
      <c r="C60" t="s">
        <v>15</v>
      </c>
      <c r="D60" s="9">
        <v>2.95</v>
      </c>
      <c r="E60">
        <v>677.97</v>
      </c>
      <c r="F60" t="s">
        <v>112</v>
      </c>
      <c r="G60" t="s">
        <v>115</v>
      </c>
      <c r="H60" t="s">
        <v>42</v>
      </c>
      <c r="I60" t="s">
        <v>21</v>
      </c>
      <c r="K60" t="str">
        <v>No discount</v>
      </c>
      <c r="L60" t="str">
        <v>Nothing</v>
      </c>
    </row>
    <row r="61" spans="1:12" x14ac:dyDescent="0.25">
      <c r="A61">
        <v>10514</v>
      </c>
      <c r="B61" t="s">
        <v>49</v>
      </c>
      <c r="C61" t="s">
        <v>18</v>
      </c>
      <c r="D61" s="9">
        <v>4.99</v>
      </c>
      <c r="E61">
        <v>200.4</v>
      </c>
      <c r="F61" t="s">
        <v>112</v>
      </c>
      <c r="G61" t="s">
        <v>115</v>
      </c>
      <c r="H61" t="s">
        <v>42</v>
      </c>
      <c r="I61" t="s">
        <v>21</v>
      </c>
      <c r="K61" t="str">
        <v>No discount</v>
      </c>
      <c r="L61" t="str">
        <v>Nothing</v>
      </c>
    </row>
    <row r="62" spans="1:12" x14ac:dyDescent="0.25">
      <c r="A62">
        <v>10515</v>
      </c>
      <c r="B62" t="s">
        <v>51</v>
      </c>
      <c r="C62" t="s">
        <v>23</v>
      </c>
      <c r="D62" s="9">
        <v>12.99</v>
      </c>
      <c r="E62">
        <v>477.29</v>
      </c>
      <c r="F62" t="s">
        <v>112</v>
      </c>
      <c r="G62" t="s">
        <v>115</v>
      </c>
      <c r="H62" t="s">
        <v>42</v>
      </c>
      <c r="I62" t="s">
        <v>21</v>
      </c>
      <c r="K62" t="str">
        <v>No discount</v>
      </c>
      <c r="L62" t="str">
        <v>Free Beverages</v>
      </c>
    </row>
    <row r="63" spans="1:12" x14ac:dyDescent="0.25">
      <c r="A63">
        <v>10516</v>
      </c>
      <c r="B63" t="s">
        <v>51</v>
      </c>
      <c r="C63" t="s">
        <v>27</v>
      </c>
      <c r="D63" s="9">
        <v>9.9499999999999993</v>
      </c>
      <c r="E63">
        <v>201.01</v>
      </c>
      <c r="F63" t="s">
        <v>112</v>
      </c>
      <c r="G63" t="s">
        <v>115</v>
      </c>
      <c r="H63" t="s">
        <v>42</v>
      </c>
      <c r="I63" t="s">
        <v>21</v>
      </c>
      <c r="K63" t="str">
        <v>No discount</v>
      </c>
      <c r="L63" t="str">
        <v>Nothing</v>
      </c>
    </row>
    <row r="64" spans="1:12" x14ac:dyDescent="0.25">
      <c r="A64">
        <v>10483</v>
      </c>
      <c r="B64" t="s">
        <v>41</v>
      </c>
      <c r="C64" t="s">
        <v>15</v>
      </c>
      <c r="D64" s="9">
        <v>2.95</v>
      </c>
      <c r="E64">
        <v>677.97</v>
      </c>
      <c r="F64" t="s">
        <v>111</v>
      </c>
      <c r="G64" t="s">
        <v>113</v>
      </c>
      <c r="H64" t="s">
        <v>20</v>
      </c>
      <c r="I64" t="s">
        <v>21</v>
      </c>
      <c r="K64" t="str">
        <v>No discount</v>
      </c>
      <c r="L64" t="str">
        <v>Nothing</v>
      </c>
    </row>
    <row r="65" spans="1:12" x14ac:dyDescent="0.25">
      <c r="A65">
        <v>10484</v>
      </c>
      <c r="B65" t="s">
        <v>41</v>
      </c>
      <c r="C65" t="s">
        <v>18</v>
      </c>
      <c r="D65" s="9">
        <v>4.99</v>
      </c>
      <c r="E65">
        <v>200.4</v>
      </c>
      <c r="F65" t="s">
        <v>111</v>
      </c>
      <c r="G65" t="s">
        <v>113</v>
      </c>
      <c r="H65" t="s">
        <v>20</v>
      </c>
      <c r="I65" t="s">
        <v>21</v>
      </c>
      <c r="K65" t="str">
        <v>No discount</v>
      </c>
      <c r="L65" t="str">
        <v>Nothing</v>
      </c>
    </row>
    <row r="66" spans="1:12" x14ac:dyDescent="0.25">
      <c r="A66">
        <v>10485</v>
      </c>
      <c r="B66" t="s">
        <v>43</v>
      </c>
      <c r="C66" t="s">
        <v>23</v>
      </c>
      <c r="D66" s="9">
        <v>12.99</v>
      </c>
      <c r="E66">
        <v>523.48</v>
      </c>
      <c r="F66" t="s">
        <v>111</v>
      </c>
      <c r="G66" t="s">
        <v>113</v>
      </c>
      <c r="H66" t="s">
        <v>20</v>
      </c>
      <c r="I66" t="s">
        <v>21</v>
      </c>
      <c r="K66" t="str">
        <v>No discount</v>
      </c>
      <c r="L66" t="str">
        <v>Free Beverages</v>
      </c>
    </row>
    <row r="67" spans="1:12" x14ac:dyDescent="0.25">
      <c r="A67">
        <v>10520</v>
      </c>
      <c r="B67" t="s">
        <v>52</v>
      </c>
      <c r="C67" t="s">
        <v>23</v>
      </c>
      <c r="D67" s="9">
        <v>12.99</v>
      </c>
      <c r="E67">
        <v>492.69</v>
      </c>
      <c r="F67" t="s">
        <v>112</v>
      </c>
      <c r="G67" t="s">
        <v>115</v>
      </c>
      <c r="H67" t="s">
        <v>31</v>
      </c>
      <c r="I67" t="s">
        <v>29</v>
      </c>
      <c r="K67" t="str">
        <v>No discount</v>
      </c>
      <c r="L67" t="str">
        <v>Free Beverages</v>
      </c>
    </row>
    <row r="68" spans="1:12" x14ac:dyDescent="0.25">
      <c r="A68">
        <v>10521</v>
      </c>
      <c r="B68" t="s">
        <v>52</v>
      </c>
      <c r="C68" t="s">
        <v>27</v>
      </c>
      <c r="D68" s="9">
        <v>9.9499999999999993</v>
      </c>
      <c r="E68">
        <v>201.01</v>
      </c>
      <c r="F68" t="s">
        <v>112</v>
      </c>
      <c r="G68" t="s">
        <v>115</v>
      </c>
      <c r="H68" t="s">
        <v>31</v>
      </c>
      <c r="I68" t="s">
        <v>29</v>
      </c>
      <c r="K68" t="str">
        <v>No discount</v>
      </c>
      <c r="L68" t="str">
        <v>Nothing</v>
      </c>
    </row>
    <row r="69" spans="1:12" x14ac:dyDescent="0.25">
      <c r="A69">
        <v>10522</v>
      </c>
      <c r="B69" t="s">
        <v>52</v>
      </c>
      <c r="C69" t="s">
        <v>10</v>
      </c>
      <c r="D69" s="9">
        <v>3.49</v>
      </c>
      <c r="E69">
        <v>687.68</v>
      </c>
      <c r="F69" t="s">
        <v>112</v>
      </c>
      <c r="G69" t="s">
        <v>115</v>
      </c>
      <c r="H69" t="s">
        <v>31</v>
      </c>
      <c r="I69" t="s">
        <v>29</v>
      </c>
      <c r="K69" t="str">
        <v>No discount</v>
      </c>
      <c r="L69" t="str">
        <v>Nothing</v>
      </c>
    </row>
    <row r="70" spans="1:12" x14ac:dyDescent="0.25">
      <c r="A70">
        <v>10523</v>
      </c>
      <c r="B70" t="s">
        <v>52</v>
      </c>
      <c r="C70" t="s">
        <v>15</v>
      </c>
      <c r="D70" s="9">
        <v>2.95</v>
      </c>
      <c r="E70">
        <v>745.76</v>
      </c>
      <c r="F70" t="s">
        <v>112</v>
      </c>
      <c r="G70" t="s">
        <v>115</v>
      </c>
      <c r="H70" t="s">
        <v>31</v>
      </c>
      <c r="I70" t="s">
        <v>29</v>
      </c>
      <c r="K70" t="str">
        <v>No discount</v>
      </c>
      <c r="L70" t="str">
        <v>Nothing</v>
      </c>
    </row>
    <row r="71" spans="1:12" x14ac:dyDescent="0.25">
      <c r="A71">
        <v>10524</v>
      </c>
      <c r="B71" t="s">
        <v>52</v>
      </c>
      <c r="C71" t="s">
        <v>18</v>
      </c>
      <c r="D71" s="9">
        <v>4.99</v>
      </c>
      <c r="E71">
        <v>200.4</v>
      </c>
      <c r="F71" t="s">
        <v>112</v>
      </c>
      <c r="G71" t="s">
        <v>115</v>
      </c>
      <c r="H71" t="s">
        <v>31</v>
      </c>
      <c r="I71" t="s">
        <v>29</v>
      </c>
      <c r="K71" t="str">
        <v>No discount</v>
      </c>
      <c r="L71" t="str">
        <v>Nothing</v>
      </c>
    </row>
    <row r="72" spans="1:12" x14ac:dyDescent="0.25">
      <c r="A72">
        <v>10525</v>
      </c>
      <c r="B72" t="s">
        <v>53</v>
      </c>
      <c r="C72" t="s">
        <v>23</v>
      </c>
      <c r="D72" s="9">
        <v>12.99</v>
      </c>
      <c r="E72">
        <v>461.89</v>
      </c>
      <c r="F72" t="s">
        <v>112</v>
      </c>
      <c r="G72" t="s">
        <v>115</v>
      </c>
      <c r="H72" t="s">
        <v>31</v>
      </c>
      <c r="I72" t="s">
        <v>29</v>
      </c>
      <c r="K72" t="str">
        <v>No discount</v>
      </c>
      <c r="L72" t="str">
        <v>Free Beverages</v>
      </c>
    </row>
    <row r="73" spans="1:12" x14ac:dyDescent="0.25">
      <c r="A73">
        <v>10526</v>
      </c>
      <c r="B73" t="s">
        <v>53</v>
      </c>
      <c r="C73" t="s">
        <v>27</v>
      </c>
      <c r="D73" s="9">
        <v>9.9499999999999993</v>
      </c>
      <c r="E73">
        <v>201.01</v>
      </c>
      <c r="F73" t="s">
        <v>112</v>
      </c>
      <c r="G73" t="s">
        <v>115</v>
      </c>
      <c r="H73" t="s">
        <v>31</v>
      </c>
      <c r="I73" t="s">
        <v>29</v>
      </c>
      <c r="K73" t="str">
        <v>No discount</v>
      </c>
      <c r="L73" t="str">
        <v>Nothing</v>
      </c>
    </row>
    <row r="74" spans="1:12" x14ac:dyDescent="0.25">
      <c r="A74">
        <v>10527</v>
      </c>
      <c r="B74" t="s">
        <v>53</v>
      </c>
      <c r="C74" t="s">
        <v>10</v>
      </c>
      <c r="D74" s="9">
        <v>3.49</v>
      </c>
      <c r="E74">
        <v>687.68</v>
      </c>
      <c r="F74" t="s">
        <v>112</v>
      </c>
      <c r="G74" t="s">
        <v>115</v>
      </c>
      <c r="H74" t="s">
        <v>31</v>
      </c>
      <c r="I74" t="s">
        <v>29</v>
      </c>
      <c r="K74" t="str">
        <v>No discount</v>
      </c>
      <c r="L74" t="str">
        <v>Nothing</v>
      </c>
    </row>
    <row r="75" spans="1:12" x14ac:dyDescent="0.25">
      <c r="A75">
        <v>10528</v>
      </c>
      <c r="B75" t="s">
        <v>53</v>
      </c>
      <c r="C75" t="s">
        <v>15</v>
      </c>
      <c r="D75" s="9">
        <v>2.95</v>
      </c>
      <c r="E75">
        <v>745.76</v>
      </c>
      <c r="F75" t="s">
        <v>112</v>
      </c>
      <c r="G75" t="s">
        <v>115</v>
      </c>
      <c r="H75" t="s">
        <v>31</v>
      </c>
      <c r="I75" t="s">
        <v>29</v>
      </c>
      <c r="K75" t="str">
        <v>No discount</v>
      </c>
      <c r="L75" t="str">
        <v>Nothing</v>
      </c>
    </row>
    <row r="76" spans="1:12" x14ac:dyDescent="0.25">
      <c r="A76">
        <v>10529</v>
      </c>
      <c r="B76" t="s">
        <v>53</v>
      </c>
      <c r="C76" t="s">
        <v>18</v>
      </c>
      <c r="D76" s="9">
        <v>4.99</v>
      </c>
      <c r="E76">
        <v>200.4</v>
      </c>
      <c r="F76" t="s">
        <v>112</v>
      </c>
      <c r="G76" t="s">
        <v>115</v>
      </c>
      <c r="H76" t="s">
        <v>31</v>
      </c>
      <c r="I76" t="s">
        <v>29</v>
      </c>
      <c r="K76" t="str">
        <v>No discount</v>
      </c>
      <c r="L76" t="str">
        <v>Nothing</v>
      </c>
    </row>
    <row r="77" spans="1:12" x14ac:dyDescent="0.25">
      <c r="A77">
        <v>10530</v>
      </c>
      <c r="B77" t="s">
        <v>54</v>
      </c>
      <c r="C77" t="s">
        <v>23</v>
      </c>
      <c r="D77" s="9">
        <v>12.99</v>
      </c>
      <c r="E77">
        <v>477.29</v>
      </c>
      <c r="F77" t="s">
        <v>112</v>
      </c>
      <c r="G77" t="s">
        <v>115</v>
      </c>
      <c r="H77" t="s">
        <v>31</v>
      </c>
      <c r="I77" t="s">
        <v>29</v>
      </c>
      <c r="K77" t="str">
        <v>No discount</v>
      </c>
      <c r="L77" t="str">
        <v>Free Beverages</v>
      </c>
    </row>
    <row r="78" spans="1:12" x14ac:dyDescent="0.25">
      <c r="A78">
        <v>10531</v>
      </c>
      <c r="B78" t="s">
        <v>54</v>
      </c>
      <c r="C78" t="s">
        <v>27</v>
      </c>
      <c r="D78" s="9">
        <v>9.9499999999999993</v>
      </c>
      <c r="E78">
        <v>201.01</v>
      </c>
      <c r="F78" t="s">
        <v>112</v>
      </c>
      <c r="G78" t="s">
        <v>115</v>
      </c>
      <c r="H78" t="s">
        <v>31</v>
      </c>
      <c r="I78" t="s">
        <v>29</v>
      </c>
      <c r="K78" t="str">
        <v>No discount</v>
      </c>
      <c r="L78" t="str">
        <v>Nothing</v>
      </c>
    </row>
    <row r="79" spans="1:12" x14ac:dyDescent="0.25">
      <c r="A79">
        <v>10532</v>
      </c>
      <c r="B79" t="s">
        <v>54</v>
      </c>
      <c r="C79" t="s">
        <v>10</v>
      </c>
      <c r="D79" s="9">
        <v>3.49</v>
      </c>
      <c r="E79">
        <v>687.68</v>
      </c>
      <c r="F79" t="s">
        <v>112</v>
      </c>
      <c r="G79" t="s">
        <v>115</v>
      </c>
      <c r="H79" t="s">
        <v>42</v>
      </c>
      <c r="I79" t="s">
        <v>21</v>
      </c>
      <c r="K79" t="str">
        <v>No discount</v>
      </c>
      <c r="L79" t="str">
        <v>Nothing</v>
      </c>
    </row>
    <row r="80" spans="1:12" x14ac:dyDescent="0.25">
      <c r="A80">
        <v>10533</v>
      </c>
      <c r="B80" t="s">
        <v>54</v>
      </c>
      <c r="C80" t="s">
        <v>15</v>
      </c>
      <c r="D80" s="9">
        <v>2.95</v>
      </c>
      <c r="E80">
        <v>745.76</v>
      </c>
      <c r="F80" t="s">
        <v>112</v>
      </c>
      <c r="G80" t="s">
        <v>115</v>
      </c>
      <c r="H80" t="s">
        <v>42</v>
      </c>
      <c r="I80" t="s">
        <v>21</v>
      </c>
      <c r="K80" t="str">
        <v>No discount</v>
      </c>
      <c r="L80" t="str">
        <v>Nothing</v>
      </c>
    </row>
    <row r="81" spans="1:12" x14ac:dyDescent="0.25">
      <c r="A81">
        <v>10534</v>
      </c>
      <c r="B81" t="s">
        <v>54</v>
      </c>
      <c r="C81" t="s">
        <v>18</v>
      </c>
      <c r="D81" s="9">
        <v>4.99</v>
      </c>
      <c r="E81">
        <v>200.4</v>
      </c>
      <c r="F81" t="s">
        <v>112</v>
      </c>
      <c r="G81" t="s">
        <v>115</v>
      </c>
      <c r="H81" t="s">
        <v>35</v>
      </c>
      <c r="I81" t="s">
        <v>17</v>
      </c>
      <c r="K81" t="str">
        <v>No discount</v>
      </c>
      <c r="L81" t="str">
        <v>Nothing</v>
      </c>
    </row>
    <row r="82" spans="1:12" x14ac:dyDescent="0.25">
      <c r="A82">
        <v>10535</v>
      </c>
      <c r="B82" t="s">
        <v>55</v>
      </c>
      <c r="C82" t="s">
        <v>23</v>
      </c>
      <c r="D82" s="9">
        <v>12.99</v>
      </c>
      <c r="E82">
        <v>477.29</v>
      </c>
      <c r="F82" t="s">
        <v>112</v>
      </c>
      <c r="G82" t="s">
        <v>113</v>
      </c>
      <c r="H82" t="s">
        <v>35</v>
      </c>
      <c r="I82" t="s">
        <v>17</v>
      </c>
      <c r="K82" t="str">
        <v>No discount</v>
      </c>
      <c r="L82" t="str">
        <v>Free Beverages</v>
      </c>
    </row>
    <row r="83" spans="1:12" x14ac:dyDescent="0.25">
      <c r="A83">
        <v>10536</v>
      </c>
      <c r="B83" t="s">
        <v>55</v>
      </c>
      <c r="C83" t="s">
        <v>27</v>
      </c>
      <c r="D83" s="9">
        <v>9.9499999999999993</v>
      </c>
      <c r="E83">
        <v>201.01</v>
      </c>
      <c r="F83" t="s">
        <v>112</v>
      </c>
      <c r="G83" t="s">
        <v>113</v>
      </c>
      <c r="H83" t="s">
        <v>35</v>
      </c>
      <c r="I83" t="s">
        <v>17</v>
      </c>
      <c r="K83" t="str">
        <v>No discount</v>
      </c>
      <c r="L83" t="str">
        <v>Nothing</v>
      </c>
    </row>
    <row r="84" spans="1:12" x14ac:dyDescent="0.25">
      <c r="A84">
        <v>10540</v>
      </c>
      <c r="B84" t="s">
        <v>56</v>
      </c>
      <c r="C84" t="s">
        <v>23</v>
      </c>
      <c r="D84" s="9">
        <v>12.99</v>
      </c>
      <c r="E84">
        <v>461.89</v>
      </c>
      <c r="F84" t="s">
        <v>112</v>
      </c>
      <c r="G84" t="s">
        <v>113</v>
      </c>
      <c r="H84" t="s">
        <v>35</v>
      </c>
      <c r="I84" t="s">
        <v>17</v>
      </c>
      <c r="K84" t="str">
        <v>No discount</v>
      </c>
      <c r="L84" t="str">
        <v>Free Beverages</v>
      </c>
    </row>
    <row r="85" spans="1:12" x14ac:dyDescent="0.25">
      <c r="A85">
        <v>10541</v>
      </c>
      <c r="B85" t="s">
        <v>56</v>
      </c>
      <c r="C85" t="s">
        <v>27</v>
      </c>
      <c r="D85" s="9">
        <v>9.9499999999999993</v>
      </c>
      <c r="E85">
        <v>201.01</v>
      </c>
      <c r="F85" t="s">
        <v>112</v>
      </c>
      <c r="G85" t="s">
        <v>113</v>
      </c>
      <c r="H85" t="s">
        <v>57</v>
      </c>
      <c r="I85" t="s">
        <v>14</v>
      </c>
      <c r="K85" t="str">
        <v>No discount</v>
      </c>
      <c r="L85" t="str">
        <v>Nothing</v>
      </c>
    </row>
    <row r="86" spans="1:12" x14ac:dyDescent="0.25">
      <c r="A86">
        <v>10542</v>
      </c>
      <c r="B86" t="s">
        <v>56</v>
      </c>
      <c r="C86" t="s">
        <v>10</v>
      </c>
      <c r="D86" s="9">
        <v>3.49</v>
      </c>
      <c r="E86">
        <v>630.37</v>
      </c>
      <c r="F86" t="s">
        <v>112</v>
      </c>
      <c r="G86" t="s">
        <v>113</v>
      </c>
      <c r="H86" t="s">
        <v>57</v>
      </c>
      <c r="I86" t="s">
        <v>14</v>
      </c>
      <c r="K86" t="str">
        <v>No discount</v>
      </c>
      <c r="L86" t="str">
        <v>Nothing</v>
      </c>
    </row>
    <row r="87" spans="1:12" x14ac:dyDescent="0.25">
      <c r="A87">
        <v>10543</v>
      </c>
      <c r="B87" t="s">
        <v>56</v>
      </c>
      <c r="C87" t="s">
        <v>15</v>
      </c>
      <c r="D87" s="9">
        <v>2.95</v>
      </c>
      <c r="E87">
        <v>745.76</v>
      </c>
      <c r="F87" t="s">
        <v>112</v>
      </c>
      <c r="G87" t="s">
        <v>113</v>
      </c>
      <c r="H87" t="s">
        <v>57</v>
      </c>
      <c r="I87" t="s">
        <v>14</v>
      </c>
      <c r="K87" t="str">
        <v>No discount</v>
      </c>
      <c r="L87" t="str">
        <v>Nothing</v>
      </c>
    </row>
    <row r="88" spans="1:12" x14ac:dyDescent="0.25">
      <c r="A88">
        <v>10544</v>
      </c>
      <c r="B88" t="s">
        <v>56</v>
      </c>
      <c r="C88" t="s">
        <v>18</v>
      </c>
      <c r="D88" s="9">
        <v>4.99</v>
      </c>
      <c r="E88">
        <v>200.4</v>
      </c>
      <c r="F88" t="s">
        <v>112</v>
      </c>
      <c r="G88" t="s">
        <v>113</v>
      </c>
      <c r="H88" t="s">
        <v>57</v>
      </c>
      <c r="I88" t="s">
        <v>14</v>
      </c>
      <c r="K88" t="str">
        <v>No discount</v>
      </c>
      <c r="L88" t="str">
        <v>Nothing</v>
      </c>
    </row>
    <row r="89" spans="1:12" x14ac:dyDescent="0.25">
      <c r="A89">
        <v>10545</v>
      </c>
      <c r="B89" t="s">
        <v>58</v>
      </c>
      <c r="C89" t="s">
        <v>23</v>
      </c>
      <c r="D89" s="9">
        <v>12.99</v>
      </c>
      <c r="E89">
        <v>446.5</v>
      </c>
      <c r="F89" t="s">
        <v>112</v>
      </c>
      <c r="G89" t="s">
        <v>113</v>
      </c>
      <c r="H89" t="s">
        <v>57</v>
      </c>
      <c r="I89" t="s">
        <v>14</v>
      </c>
      <c r="K89" t="str">
        <v>No discount</v>
      </c>
      <c r="L89" t="str">
        <v>Free Beverages</v>
      </c>
    </row>
    <row r="90" spans="1:12" x14ac:dyDescent="0.25">
      <c r="A90">
        <v>10546</v>
      </c>
      <c r="B90" t="s">
        <v>58</v>
      </c>
      <c r="C90" t="s">
        <v>27</v>
      </c>
      <c r="D90" s="9">
        <v>9.9499999999999993</v>
      </c>
      <c r="E90">
        <v>201.01</v>
      </c>
      <c r="F90" t="s">
        <v>112</v>
      </c>
      <c r="G90" t="s">
        <v>113</v>
      </c>
      <c r="H90" t="s">
        <v>57</v>
      </c>
      <c r="I90" t="s">
        <v>14</v>
      </c>
      <c r="K90" t="str">
        <v>No discount</v>
      </c>
      <c r="L90" t="str">
        <v>Nothing</v>
      </c>
    </row>
    <row r="91" spans="1:12" x14ac:dyDescent="0.25">
      <c r="A91">
        <v>10547</v>
      </c>
      <c r="B91" t="s">
        <v>58</v>
      </c>
      <c r="C91" t="s">
        <v>10</v>
      </c>
      <c r="D91" s="9">
        <v>3.49</v>
      </c>
      <c r="E91">
        <v>630.37</v>
      </c>
      <c r="F91" t="s">
        <v>112</v>
      </c>
      <c r="G91" t="s">
        <v>113</v>
      </c>
      <c r="H91" t="s">
        <v>57</v>
      </c>
      <c r="I91" t="s">
        <v>14</v>
      </c>
      <c r="K91" t="str">
        <v>No discount</v>
      </c>
      <c r="L91" t="str">
        <v>Nothing</v>
      </c>
    </row>
    <row r="92" spans="1:12" x14ac:dyDescent="0.25">
      <c r="A92">
        <v>10548</v>
      </c>
      <c r="B92" t="s">
        <v>58</v>
      </c>
      <c r="C92" t="s">
        <v>15</v>
      </c>
      <c r="D92" s="9">
        <v>2.95</v>
      </c>
      <c r="E92">
        <v>745.76</v>
      </c>
      <c r="F92" t="s">
        <v>112</v>
      </c>
      <c r="G92" t="s">
        <v>113</v>
      </c>
      <c r="H92" t="s">
        <v>57</v>
      </c>
      <c r="I92" t="s">
        <v>14</v>
      </c>
      <c r="K92" t="str">
        <v>No discount</v>
      </c>
      <c r="L92" t="str">
        <v>Nothing</v>
      </c>
    </row>
    <row r="93" spans="1:12" x14ac:dyDescent="0.25">
      <c r="A93">
        <v>10549</v>
      </c>
      <c r="B93" t="s">
        <v>58</v>
      </c>
      <c r="C93" t="s">
        <v>18</v>
      </c>
      <c r="D93" s="9">
        <v>4.99</v>
      </c>
      <c r="E93">
        <v>200.4</v>
      </c>
      <c r="F93" t="s">
        <v>112</v>
      </c>
      <c r="G93" t="s">
        <v>113</v>
      </c>
      <c r="H93" t="s">
        <v>57</v>
      </c>
      <c r="I93" t="s">
        <v>14</v>
      </c>
      <c r="K93" t="str">
        <v>No discount</v>
      </c>
      <c r="L93" t="str">
        <v>Nothing</v>
      </c>
    </row>
    <row r="94" spans="1:12" x14ac:dyDescent="0.25">
      <c r="A94">
        <v>10550</v>
      </c>
      <c r="B94" t="s">
        <v>59</v>
      </c>
      <c r="C94" t="s">
        <v>23</v>
      </c>
      <c r="D94" s="9">
        <v>12.99</v>
      </c>
      <c r="E94">
        <v>461.89</v>
      </c>
      <c r="F94" t="s">
        <v>112</v>
      </c>
      <c r="G94" t="s">
        <v>113</v>
      </c>
      <c r="H94" t="s">
        <v>57</v>
      </c>
      <c r="I94" t="s">
        <v>14</v>
      </c>
      <c r="K94" t="str">
        <v>No discount</v>
      </c>
      <c r="L94" t="str">
        <v>Free Beverages</v>
      </c>
    </row>
    <row r="95" spans="1:12" x14ac:dyDescent="0.25">
      <c r="A95">
        <v>10551</v>
      </c>
      <c r="B95" t="s">
        <v>59</v>
      </c>
      <c r="C95" t="s">
        <v>27</v>
      </c>
      <c r="D95" s="9">
        <v>9.9499999999999993</v>
      </c>
      <c r="E95">
        <v>201.01</v>
      </c>
      <c r="F95" t="s">
        <v>112</v>
      </c>
      <c r="G95" t="s">
        <v>113</v>
      </c>
      <c r="H95" t="s">
        <v>57</v>
      </c>
      <c r="I95" t="s">
        <v>14</v>
      </c>
      <c r="K95" t="str">
        <v>No discount</v>
      </c>
      <c r="L95" t="str">
        <v>Nothing</v>
      </c>
    </row>
    <row r="96" spans="1:12" x14ac:dyDescent="0.25">
      <c r="A96">
        <v>10552</v>
      </c>
      <c r="B96" t="s">
        <v>59</v>
      </c>
      <c r="C96" t="s">
        <v>10</v>
      </c>
      <c r="D96" s="9">
        <v>3.49</v>
      </c>
      <c r="E96">
        <v>630.37</v>
      </c>
      <c r="F96" t="s">
        <v>110</v>
      </c>
      <c r="G96" t="s">
        <v>113</v>
      </c>
      <c r="H96" t="s">
        <v>57</v>
      </c>
      <c r="I96" t="s">
        <v>14</v>
      </c>
      <c r="K96" t="str">
        <v>No discount</v>
      </c>
      <c r="L96" t="str">
        <v>Nothing</v>
      </c>
    </row>
    <row r="97" spans="1:12" x14ac:dyDescent="0.25">
      <c r="A97">
        <v>10553</v>
      </c>
      <c r="B97" t="s">
        <v>59</v>
      </c>
      <c r="C97" t="s">
        <v>15</v>
      </c>
      <c r="D97" s="9">
        <v>2.95</v>
      </c>
      <c r="E97">
        <v>745.76</v>
      </c>
      <c r="F97" t="s">
        <v>110</v>
      </c>
      <c r="G97" t="s">
        <v>113</v>
      </c>
      <c r="H97" t="s">
        <v>57</v>
      </c>
      <c r="I97" t="s">
        <v>14</v>
      </c>
      <c r="K97" t="str">
        <v>No discount</v>
      </c>
      <c r="L97" t="str">
        <v>Nothing</v>
      </c>
    </row>
    <row r="98" spans="1:12" x14ac:dyDescent="0.25">
      <c r="A98">
        <v>10554</v>
      </c>
      <c r="B98" t="s">
        <v>59</v>
      </c>
      <c r="C98" t="s">
        <v>18</v>
      </c>
      <c r="D98" s="9">
        <v>4.99</v>
      </c>
      <c r="E98">
        <v>200.4</v>
      </c>
      <c r="F98" t="s">
        <v>110</v>
      </c>
      <c r="G98" t="s">
        <v>113</v>
      </c>
      <c r="H98" t="s">
        <v>57</v>
      </c>
      <c r="I98" t="s">
        <v>14</v>
      </c>
      <c r="K98" t="str">
        <v>No discount</v>
      </c>
      <c r="L98" t="str">
        <v>Nothing</v>
      </c>
    </row>
    <row r="99" spans="1:12" x14ac:dyDescent="0.25">
      <c r="A99">
        <v>10555</v>
      </c>
      <c r="B99" t="s">
        <v>60</v>
      </c>
      <c r="C99" t="s">
        <v>23</v>
      </c>
      <c r="D99" s="9">
        <v>12.99</v>
      </c>
      <c r="E99">
        <v>477.29</v>
      </c>
      <c r="F99" t="s">
        <v>110</v>
      </c>
      <c r="G99" t="s">
        <v>113</v>
      </c>
      <c r="H99" t="s">
        <v>57</v>
      </c>
      <c r="I99" t="s">
        <v>14</v>
      </c>
      <c r="K99" t="str">
        <v>No discount</v>
      </c>
      <c r="L99" t="str">
        <v>Free Beverages</v>
      </c>
    </row>
    <row r="100" spans="1:12" x14ac:dyDescent="0.25">
      <c r="A100">
        <v>10556</v>
      </c>
      <c r="B100" t="s">
        <v>60</v>
      </c>
      <c r="C100" t="s">
        <v>27</v>
      </c>
      <c r="D100" s="9">
        <v>9.9499999999999993</v>
      </c>
      <c r="E100">
        <v>201.01</v>
      </c>
      <c r="F100" t="s">
        <v>110</v>
      </c>
      <c r="G100" t="s">
        <v>113</v>
      </c>
      <c r="H100" t="s">
        <v>57</v>
      </c>
      <c r="I100" t="s">
        <v>14</v>
      </c>
      <c r="K100" t="str">
        <v>No discount</v>
      </c>
      <c r="L100" t="str">
        <v>Nothing</v>
      </c>
    </row>
    <row r="101" spans="1:12" x14ac:dyDescent="0.25">
      <c r="A101">
        <v>10557</v>
      </c>
      <c r="B101" t="s">
        <v>60</v>
      </c>
      <c r="C101" t="s">
        <v>10</v>
      </c>
      <c r="D101" s="9">
        <v>3.49</v>
      </c>
      <c r="E101">
        <v>630.37</v>
      </c>
      <c r="F101" t="s">
        <v>110</v>
      </c>
      <c r="G101" t="s">
        <v>113</v>
      </c>
      <c r="H101" t="s">
        <v>57</v>
      </c>
      <c r="I101" t="s">
        <v>14</v>
      </c>
      <c r="K101" t="str">
        <v>No discount</v>
      </c>
      <c r="L101" t="str">
        <v>Nothing</v>
      </c>
    </row>
    <row r="102" spans="1:12" x14ac:dyDescent="0.25">
      <c r="A102">
        <v>10558</v>
      </c>
      <c r="B102" t="s">
        <v>60</v>
      </c>
      <c r="C102" t="s">
        <v>15</v>
      </c>
      <c r="D102" s="9">
        <v>2.95</v>
      </c>
      <c r="E102">
        <v>677.97</v>
      </c>
      <c r="F102" t="s">
        <v>110</v>
      </c>
      <c r="G102" t="s">
        <v>113</v>
      </c>
      <c r="H102" t="s">
        <v>57</v>
      </c>
      <c r="I102" t="s">
        <v>14</v>
      </c>
      <c r="K102" t="str">
        <v>No discount</v>
      </c>
      <c r="L102" t="str">
        <v>Nothing</v>
      </c>
    </row>
    <row r="103" spans="1:12" x14ac:dyDescent="0.25">
      <c r="A103">
        <v>10559</v>
      </c>
      <c r="B103" t="s">
        <v>60</v>
      </c>
      <c r="C103" t="s">
        <v>18</v>
      </c>
      <c r="D103" s="9">
        <v>4.99</v>
      </c>
      <c r="E103">
        <v>200.4</v>
      </c>
      <c r="F103" t="s">
        <v>110</v>
      </c>
      <c r="G103" t="s">
        <v>113</v>
      </c>
      <c r="H103" t="s">
        <v>57</v>
      </c>
      <c r="I103" t="s">
        <v>14</v>
      </c>
      <c r="K103" t="str">
        <v>No discount</v>
      </c>
      <c r="L103" t="str">
        <v>Nothing</v>
      </c>
    </row>
    <row r="104" spans="1:12" x14ac:dyDescent="0.25">
      <c r="A104">
        <v>10560</v>
      </c>
      <c r="B104" t="s">
        <v>61</v>
      </c>
      <c r="C104" t="s">
        <v>23</v>
      </c>
      <c r="D104" s="9">
        <v>12.99</v>
      </c>
      <c r="E104">
        <v>477.29</v>
      </c>
      <c r="F104" t="s">
        <v>110</v>
      </c>
      <c r="G104" t="s">
        <v>113</v>
      </c>
      <c r="H104" t="s">
        <v>57</v>
      </c>
      <c r="I104" t="s">
        <v>14</v>
      </c>
      <c r="K104" t="str">
        <v>No discount</v>
      </c>
      <c r="L104" t="str">
        <v>Free Beverages</v>
      </c>
    </row>
    <row r="105" spans="1:12" x14ac:dyDescent="0.25">
      <c r="A105">
        <v>10561</v>
      </c>
      <c r="B105" t="s">
        <v>61</v>
      </c>
      <c r="C105" t="s">
        <v>27</v>
      </c>
      <c r="D105" s="9">
        <v>9.9499999999999993</v>
      </c>
      <c r="E105">
        <v>201.01</v>
      </c>
      <c r="F105" t="s">
        <v>110</v>
      </c>
      <c r="G105" t="s">
        <v>113</v>
      </c>
      <c r="H105" t="s">
        <v>57</v>
      </c>
      <c r="I105" t="s">
        <v>14</v>
      </c>
      <c r="K105" t="str">
        <v>No discount</v>
      </c>
      <c r="L105" t="str">
        <v>Nothing</v>
      </c>
    </row>
    <row r="106" spans="1:12" x14ac:dyDescent="0.25">
      <c r="A106">
        <v>10562</v>
      </c>
      <c r="B106" t="s">
        <v>61</v>
      </c>
      <c r="C106" t="s">
        <v>10</v>
      </c>
      <c r="D106" s="9">
        <v>3.49</v>
      </c>
      <c r="E106">
        <v>630.37</v>
      </c>
      <c r="F106" t="s">
        <v>110</v>
      </c>
      <c r="G106" t="s">
        <v>113</v>
      </c>
      <c r="H106" t="s">
        <v>57</v>
      </c>
      <c r="I106" t="s">
        <v>14</v>
      </c>
      <c r="K106" t="str">
        <v>No discount</v>
      </c>
      <c r="L106" t="str">
        <v>Nothing</v>
      </c>
    </row>
    <row r="107" spans="1:12" x14ac:dyDescent="0.25">
      <c r="A107">
        <v>10563</v>
      </c>
      <c r="B107" t="s">
        <v>61</v>
      </c>
      <c r="C107" t="s">
        <v>15</v>
      </c>
      <c r="D107" s="9">
        <v>2.95</v>
      </c>
      <c r="E107">
        <v>677.97</v>
      </c>
      <c r="F107" t="s">
        <v>110</v>
      </c>
      <c r="G107" t="s">
        <v>113</v>
      </c>
      <c r="H107" t="s">
        <v>57</v>
      </c>
      <c r="I107" t="s">
        <v>14</v>
      </c>
      <c r="K107" t="str">
        <v>No discount</v>
      </c>
      <c r="L107" t="str">
        <v>Nothing</v>
      </c>
    </row>
    <row r="108" spans="1:12" x14ac:dyDescent="0.25">
      <c r="A108">
        <v>10564</v>
      </c>
      <c r="B108" t="s">
        <v>61</v>
      </c>
      <c r="C108" t="s">
        <v>18</v>
      </c>
      <c r="D108" s="9">
        <v>4.99</v>
      </c>
      <c r="E108">
        <v>200.4</v>
      </c>
      <c r="F108" t="s">
        <v>110</v>
      </c>
      <c r="G108" t="s">
        <v>113</v>
      </c>
      <c r="H108" t="s">
        <v>57</v>
      </c>
      <c r="I108" t="s">
        <v>14</v>
      </c>
      <c r="K108" t="str">
        <v>No discount</v>
      </c>
      <c r="L108" t="str">
        <v>Nothing</v>
      </c>
    </row>
    <row r="109" spans="1:12" x14ac:dyDescent="0.25">
      <c r="A109">
        <v>10565</v>
      </c>
      <c r="B109" t="s">
        <v>62</v>
      </c>
      <c r="C109" t="s">
        <v>23</v>
      </c>
      <c r="D109" s="9">
        <v>12.99</v>
      </c>
      <c r="E109">
        <v>492.69</v>
      </c>
      <c r="F109" t="s">
        <v>110</v>
      </c>
      <c r="G109" t="s">
        <v>113</v>
      </c>
      <c r="H109" t="s">
        <v>57</v>
      </c>
      <c r="I109" t="s">
        <v>14</v>
      </c>
      <c r="K109" t="str">
        <v>No discount</v>
      </c>
      <c r="L109" t="str">
        <v>Free Beverages</v>
      </c>
    </row>
    <row r="110" spans="1:12" x14ac:dyDescent="0.25">
      <c r="A110">
        <v>10566</v>
      </c>
      <c r="B110" t="s">
        <v>62</v>
      </c>
      <c r="C110" t="s">
        <v>27</v>
      </c>
      <c r="D110" s="9">
        <v>9.9499999999999993</v>
      </c>
      <c r="E110">
        <v>201.01</v>
      </c>
      <c r="F110" t="s">
        <v>110</v>
      </c>
      <c r="G110" t="s">
        <v>113</v>
      </c>
      <c r="H110" t="s">
        <v>57</v>
      </c>
      <c r="I110" t="s">
        <v>14</v>
      </c>
      <c r="K110" t="str">
        <v>No discount</v>
      </c>
      <c r="L110" t="str">
        <v>Nothing</v>
      </c>
    </row>
    <row r="111" spans="1:12" x14ac:dyDescent="0.25">
      <c r="A111">
        <v>10567</v>
      </c>
      <c r="B111" t="s">
        <v>62</v>
      </c>
      <c r="C111" t="s">
        <v>10</v>
      </c>
      <c r="D111" s="9">
        <v>3.49</v>
      </c>
      <c r="E111">
        <v>630.37</v>
      </c>
      <c r="F111" t="s">
        <v>110</v>
      </c>
      <c r="G111" t="s">
        <v>113</v>
      </c>
      <c r="H111" t="s">
        <v>57</v>
      </c>
      <c r="I111" t="s">
        <v>14</v>
      </c>
      <c r="K111" t="str">
        <v>No discount</v>
      </c>
      <c r="L111" t="str">
        <v>Nothing</v>
      </c>
    </row>
    <row r="112" spans="1:12" x14ac:dyDescent="0.25">
      <c r="A112">
        <v>10568</v>
      </c>
      <c r="B112" t="s">
        <v>62</v>
      </c>
      <c r="C112" t="s">
        <v>15</v>
      </c>
      <c r="D112" s="9">
        <v>2.95</v>
      </c>
      <c r="E112">
        <v>677.97</v>
      </c>
      <c r="F112" t="s">
        <v>110</v>
      </c>
      <c r="G112" t="s">
        <v>113</v>
      </c>
      <c r="H112" t="s">
        <v>57</v>
      </c>
      <c r="I112" t="s">
        <v>14</v>
      </c>
      <c r="K112" t="str">
        <v>No discount</v>
      </c>
      <c r="L112" t="str">
        <v>Nothing</v>
      </c>
    </row>
    <row r="113" spans="1:12" x14ac:dyDescent="0.25">
      <c r="A113">
        <v>10569</v>
      </c>
      <c r="B113" t="s">
        <v>62</v>
      </c>
      <c r="C113" t="s">
        <v>18</v>
      </c>
      <c r="D113" s="9">
        <v>4.99</v>
      </c>
      <c r="E113">
        <v>200.4</v>
      </c>
      <c r="F113" t="s">
        <v>110</v>
      </c>
      <c r="G113" t="s">
        <v>113</v>
      </c>
      <c r="H113" t="s">
        <v>57</v>
      </c>
      <c r="I113" t="s">
        <v>14</v>
      </c>
      <c r="K113" t="str">
        <v>No discount</v>
      </c>
      <c r="L113" t="str">
        <v>Nothing</v>
      </c>
    </row>
    <row r="114" spans="1:12" x14ac:dyDescent="0.25">
      <c r="A114">
        <v>10570</v>
      </c>
      <c r="B114" t="s">
        <v>63</v>
      </c>
      <c r="C114" t="s">
        <v>23</v>
      </c>
      <c r="D114" s="9">
        <v>12.99</v>
      </c>
      <c r="E114">
        <v>492.69</v>
      </c>
      <c r="F114" t="s">
        <v>110</v>
      </c>
      <c r="G114" t="s">
        <v>113</v>
      </c>
      <c r="H114" t="s">
        <v>57</v>
      </c>
      <c r="I114" t="s">
        <v>14</v>
      </c>
      <c r="K114" t="str">
        <v>No discount</v>
      </c>
      <c r="L114" t="str">
        <v>Free Beverages</v>
      </c>
    </row>
    <row r="115" spans="1:12" x14ac:dyDescent="0.25">
      <c r="A115">
        <v>10571</v>
      </c>
      <c r="B115" t="s">
        <v>63</v>
      </c>
      <c r="C115" t="s">
        <v>27</v>
      </c>
      <c r="D115" s="9">
        <v>9.9499999999999993</v>
      </c>
      <c r="E115">
        <v>201.01</v>
      </c>
      <c r="F115" t="s">
        <v>110</v>
      </c>
      <c r="G115" t="s">
        <v>113</v>
      </c>
      <c r="H115" t="s">
        <v>57</v>
      </c>
      <c r="I115" t="s">
        <v>14</v>
      </c>
      <c r="K115" t="str">
        <v>No discount</v>
      </c>
      <c r="L115" t="str">
        <v>Nothing</v>
      </c>
    </row>
    <row r="116" spans="1:12" x14ac:dyDescent="0.25">
      <c r="A116">
        <v>10572</v>
      </c>
      <c r="B116" t="s">
        <v>63</v>
      </c>
      <c r="C116" t="s">
        <v>10</v>
      </c>
      <c r="D116" s="9">
        <v>3.49</v>
      </c>
      <c r="E116">
        <v>573.07000000000005</v>
      </c>
      <c r="F116" t="s">
        <v>110</v>
      </c>
      <c r="G116" t="s">
        <v>113</v>
      </c>
      <c r="H116" t="s">
        <v>31</v>
      </c>
      <c r="I116" t="s">
        <v>29</v>
      </c>
      <c r="K116" t="str">
        <v>No discount</v>
      </c>
      <c r="L116" t="str">
        <v>Nothing</v>
      </c>
    </row>
    <row r="117" spans="1:12" x14ac:dyDescent="0.25">
      <c r="A117">
        <v>10573</v>
      </c>
      <c r="B117" t="s">
        <v>63</v>
      </c>
      <c r="C117" t="s">
        <v>15</v>
      </c>
      <c r="D117" s="9">
        <v>2.95</v>
      </c>
      <c r="E117">
        <v>677.97</v>
      </c>
      <c r="F117" t="s">
        <v>110</v>
      </c>
      <c r="G117" t="s">
        <v>113</v>
      </c>
      <c r="H117" t="s">
        <v>31</v>
      </c>
      <c r="I117" t="s">
        <v>29</v>
      </c>
      <c r="K117" t="str">
        <v>No discount</v>
      </c>
      <c r="L117" t="str">
        <v>Nothing</v>
      </c>
    </row>
    <row r="118" spans="1:12" x14ac:dyDescent="0.25">
      <c r="A118">
        <v>10574</v>
      </c>
      <c r="B118" t="s">
        <v>63</v>
      </c>
      <c r="C118" t="s">
        <v>18</v>
      </c>
      <c r="D118" s="9">
        <v>4.99</v>
      </c>
      <c r="E118">
        <v>200.4</v>
      </c>
      <c r="F118" t="s">
        <v>110</v>
      </c>
      <c r="G118" t="s">
        <v>113</v>
      </c>
      <c r="H118" t="s">
        <v>31</v>
      </c>
      <c r="I118" t="s">
        <v>29</v>
      </c>
      <c r="K118" t="str">
        <v>No discount</v>
      </c>
      <c r="L118" t="str">
        <v>Nothing</v>
      </c>
    </row>
    <row r="119" spans="1:12" x14ac:dyDescent="0.25">
      <c r="A119">
        <v>10575</v>
      </c>
      <c r="B119" t="s">
        <v>64</v>
      </c>
      <c r="C119" t="s">
        <v>23</v>
      </c>
      <c r="D119" s="9">
        <v>12.99</v>
      </c>
      <c r="E119">
        <v>523.48</v>
      </c>
      <c r="F119" t="s">
        <v>110</v>
      </c>
      <c r="G119" t="s">
        <v>113</v>
      </c>
      <c r="H119" t="s">
        <v>31</v>
      </c>
      <c r="I119" t="s">
        <v>29</v>
      </c>
      <c r="K119" t="str">
        <v>No discount</v>
      </c>
      <c r="L119" t="str">
        <v>Free Beverages</v>
      </c>
    </row>
    <row r="120" spans="1:12" x14ac:dyDescent="0.25">
      <c r="A120">
        <v>10576</v>
      </c>
      <c r="B120" t="s">
        <v>64</v>
      </c>
      <c r="C120" t="s">
        <v>27</v>
      </c>
      <c r="D120" s="9">
        <v>9.9499999999999993</v>
      </c>
      <c r="E120">
        <v>201.01</v>
      </c>
      <c r="F120" t="s">
        <v>110</v>
      </c>
      <c r="G120" t="s">
        <v>113</v>
      </c>
      <c r="H120" t="s">
        <v>31</v>
      </c>
      <c r="I120" t="s">
        <v>29</v>
      </c>
      <c r="K120" t="str">
        <v>No discount</v>
      </c>
      <c r="L120" t="str">
        <v>Nothing</v>
      </c>
    </row>
    <row r="121" spans="1:12" x14ac:dyDescent="0.25">
      <c r="A121">
        <v>10577</v>
      </c>
      <c r="B121" t="s">
        <v>64</v>
      </c>
      <c r="C121" t="s">
        <v>10</v>
      </c>
      <c r="D121" s="9">
        <v>3.49</v>
      </c>
      <c r="E121">
        <v>630.37</v>
      </c>
      <c r="F121" t="s">
        <v>110</v>
      </c>
      <c r="G121" t="s">
        <v>113</v>
      </c>
      <c r="H121" t="s">
        <v>31</v>
      </c>
      <c r="I121" t="s">
        <v>29</v>
      </c>
      <c r="K121" t="str">
        <v>No discount</v>
      </c>
      <c r="L121" t="str">
        <v>Nothing</v>
      </c>
    </row>
    <row r="122" spans="1:12" x14ac:dyDescent="0.25">
      <c r="A122">
        <v>10578</v>
      </c>
      <c r="B122" t="s">
        <v>64</v>
      </c>
      <c r="C122" t="s">
        <v>15</v>
      </c>
      <c r="D122" s="9">
        <v>2.95</v>
      </c>
      <c r="E122">
        <v>677.97</v>
      </c>
      <c r="F122" t="s">
        <v>110</v>
      </c>
      <c r="G122" t="s">
        <v>113</v>
      </c>
      <c r="H122" t="s">
        <v>31</v>
      </c>
      <c r="I122" t="s">
        <v>29</v>
      </c>
      <c r="K122" t="str">
        <v>No discount</v>
      </c>
      <c r="L122" t="str">
        <v>Nothing</v>
      </c>
    </row>
    <row r="123" spans="1:12" x14ac:dyDescent="0.25">
      <c r="A123">
        <v>10579</v>
      </c>
      <c r="B123" t="s">
        <v>64</v>
      </c>
      <c r="C123" t="s">
        <v>18</v>
      </c>
      <c r="D123" s="9">
        <v>4.99</v>
      </c>
      <c r="E123">
        <v>200.4</v>
      </c>
      <c r="F123" t="s">
        <v>110</v>
      </c>
      <c r="G123" t="s">
        <v>113</v>
      </c>
      <c r="H123" t="s">
        <v>31</v>
      </c>
      <c r="I123" t="s">
        <v>29</v>
      </c>
      <c r="K123" t="str">
        <v>No discount</v>
      </c>
      <c r="L123" t="str">
        <v>Nothing</v>
      </c>
    </row>
    <row r="124" spans="1:12" x14ac:dyDescent="0.25">
      <c r="A124">
        <v>10580</v>
      </c>
      <c r="B124" t="s">
        <v>65</v>
      </c>
      <c r="C124" t="s">
        <v>23</v>
      </c>
      <c r="D124" s="9">
        <v>12.99</v>
      </c>
      <c r="E124">
        <v>523.48</v>
      </c>
      <c r="F124" t="s">
        <v>110</v>
      </c>
      <c r="G124" t="s">
        <v>113</v>
      </c>
      <c r="H124" t="s">
        <v>31</v>
      </c>
      <c r="I124" t="s">
        <v>29</v>
      </c>
      <c r="K124" t="str">
        <v>No discount</v>
      </c>
      <c r="L124" t="str">
        <v>Free Beverages</v>
      </c>
    </row>
    <row r="125" spans="1:12" x14ac:dyDescent="0.25">
      <c r="A125">
        <v>10581</v>
      </c>
      <c r="B125" t="s">
        <v>65</v>
      </c>
      <c r="C125" t="s">
        <v>27</v>
      </c>
      <c r="D125" s="9">
        <v>9.9499999999999993</v>
      </c>
      <c r="E125">
        <v>201.01</v>
      </c>
      <c r="F125" t="s">
        <v>110</v>
      </c>
      <c r="G125" t="s">
        <v>113</v>
      </c>
      <c r="H125" t="s">
        <v>31</v>
      </c>
      <c r="I125" t="s">
        <v>29</v>
      </c>
      <c r="K125" t="str">
        <v>No discount</v>
      </c>
      <c r="L125" t="str">
        <v>Nothing</v>
      </c>
    </row>
    <row r="126" spans="1:12" x14ac:dyDescent="0.25">
      <c r="A126">
        <v>10582</v>
      </c>
      <c r="B126" t="s">
        <v>65</v>
      </c>
      <c r="C126" t="s">
        <v>10</v>
      </c>
      <c r="D126" s="9">
        <v>3.49</v>
      </c>
      <c r="E126">
        <v>630.37</v>
      </c>
      <c r="F126" t="s">
        <v>110</v>
      </c>
      <c r="G126" t="s">
        <v>113</v>
      </c>
      <c r="H126" t="s">
        <v>57</v>
      </c>
      <c r="I126" t="s">
        <v>14</v>
      </c>
      <c r="K126" t="str">
        <v>No discount</v>
      </c>
      <c r="L126" t="str">
        <v>Nothing</v>
      </c>
    </row>
    <row r="127" spans="1:12" x14ac:dyDescent="0.25">
      <c r="A127">
        <v>10583</v>
      </c>
      <c r="B127" t="s">
        <v>65</v>
      </c>
      <c r="C127" t="s">
        <v>15</v>
      </c>
      <c r="D127" s="9">
        <v>2.95</v>
      </c>
      <c r="E127">
        <v>677.97</v>
      </c>
      <c r="F127" t="s">
        <v>110</v>
      </c>
      <c r="G127" t="s">
        <v>113</v>
      </c>
      <c r="H127" t="s">
        <v>57</v>
      </c>
      <c r="I127" t="s">
        <v>14</v>
      </c>
      <c r="K127" t="str">
        <v>No discount</v>
      </c>
      <c r="L127" t="str">
        <v>Nothing</v>
      </c>
    </row>
    <row r="128" spans="1:12" x14ac:dyDescent="0.25">
      <c r="A128">
        <v>10584</v>
      </c>
      <c r="B128" t="s">
        <v>65</v>
      </c>
      <c r="C128" t="s">
        <v>18</v>
      </c>
      <c r="D128" s="9">
        <v>4.99</v>
      </c>
      <c r="E128">
        <v>200.4</v>
      </c>
      <c r="F128" t="s">
        <v>110</v>
      </c>
      <c r="G128" t="s">
        <v>113</v>
      </c>
      <c r="H128" t="s">
        <v>57</v>
      </c>
      <c r="I128" t="s">
        <v>14</v>
      </c>
      <c r="K128" t="str">
        <v>No discount</v>
      </c>
      <c r="L128" t="str">
        <v>Nothing</v>
      </c>
    </row>
    <row r="129" spans="1:12" x14ac:dyDescent="0.25">
      <c r="A129">
        <v>10585</v>
      </c>
      <c r="B129" t="s">
        <v>66</v>
      </c>
      <c r="C129" t="s">
        <v>23</v>
      </c>
      <c r="D129" s="9">
        <v>12.99</v>
      </c>
      <c r="E129">
        <v>538.88</v>
      </c>
      <c r="F129" t="s">
        <v>110</v>
      </c>
      <c r="G129" t="s">
        <v>113</v>
      </c>
      <c r="H129" t="s">
        <v>57</v>
      </c>
      <c r="I129" t="s">
        <v>14</v>
      </c>
      <c r="K129" t="str">
        <v>No discount</v>
      </c>
      <c r="L129" t="str">
        <v>Free Beverages</v>
      </c>
    </row>
    <row r="130" spans="1:12" x14ac:dyDescent="0.25">
      <c r="A130">
        <v>10586</v>
      </c>
      <c r="B130" t="s">
        <v>66</v>
      </c>
      <c r="C130" t="s">
        <v>27</v>
      </c>
      <c r="D130" s="9">
        <v>9.9499999999999993</v>
      </c>
      <c r="E130">
        <v>201.01</v>
      </c>
      <c r="F130" t="s">
        <v>110</v>
      </c>
      <c r="G130" t="s">
        <v>113</v>
      </c>
      <c r="H130" t="s">
        <v>57</v>
      </c>
      <c r="I130" t="s">
        <v>14</v>
      </c>
      <c r="K130" t="str">
        <v>No discount</v>
      </c>
      <c r="L130" t="str">
        <v>Nothing</v>
      </c>
    </row>
    <row r="131" spans="1:12" x14ac:dyDescent="0.25">
      <c r="A131">
        <v>10537</v>
      </c>
      <c r="B131" t="s">
        <v>55</v>
      </c>
      <c r="C131" t="s">
        <v>10</v>
      </c>
      <c r="D131" s="9">
        <v>3.49</v>
      </c>
      <c r="E131">
        <v>630.37</v>
      </c>
      <c r="F131" t="s">
        <v>112</v>
      </c>
      <c r="G131" t="s">
        <v>113</v>
      </c>
      <c r="H131" t="s">
        <v>35</v>
      </c>
      <c r="I131" t="s">
        <v>17</v>
      </c>
      <c r="K131" t="str">
        <v>No discount</v>
      </c>
      <c r="L131" t="str">
        <v>Nothing</v>
      </c>
    </row>
    <row r="132" spans="1:12" x14ac:dyDescent="0.25">
      <c r="A132">
        <v>10538</v>
      </c>
      <c r="B132" t="s">
        <v>55</v>
      </c>
      <c r="C132" t="s">
        <v>15</v>
      </c>
      <c r="D132" s="9">
        <v>2.95</v>
      </c>
      <c r="E132">
        <v>745.76</v>
      </c>
      <c r="F132" t="s">
        <v>112</v>
      </c>
      <c r="G132" t="s">
        <v>113</v>
      </c>
      <c r="H132" t="s">
        <v>35</v>
      </c>
      <c r="I132" t="s">
        <v>17</v>
      </c>
      <c r="K132" t="str">
        <v>No discount</v>
      </c>
      <c r="L132" t="str">
        <v>Nothing</v>
      </c>
    </row>
    <row r="133" spans="1:12" x14ac:dyDescent="0.25">
      <c r="A133">
        <v>10539</v>
      </c>
      <c r="B133" t="s">
        <v>55</v>
      </c>
      <c r="C133" t="s">
        <v>18</v>
      </c>
      <c r="D133" s="9">
        <v>4.99</v>
      </c>
      <c r="E133">
        <v>200.4</v>
      </c>
      <c r="F133" t="s">
        <v>112</v>
      </c>
      <c r="G133" t="s">
        <v>113</v>
      </c>
      <c r="H133" t="s">
        <v>35</v>
      </c>
      <c r="I133" t="s">
        <v>17</v>
      </c>
      <c r="K133" t="str">
        <v>No discount</v>
      </c>
      <c r="L133" t="str">
        <v>Nothing</v>
      </c>
    </row>
    <row r="134" spans="1:12" x14ac:dyDescent="0.25">
      <c r="A134">
        <v>10590</v>
      </c>
      <c r="B134" t="s">
        <v>67</v>
      </c>
      <c r="C134" t="s">
        <v>23</v>
      </c>
      <c r="D134" s="9">
        <v>12.99</v>
      </c>
      <c r="E134">
        <v>554.27</v>
      </c>
      <c r="F134" t="s">
        <v>110</v>
      </c>
      <c r="G134" t="s">
        <v>113</v>
      </c>
      <c r="H134" t="s">
        <v>57</v>
      </c>
      <c r="I134" t="s">
        <v>14</v>
      </c>
      <c r="K134" t="str">
        <v>No discount</v>
      </c>
      <c r="L134" t="str">
        <v>Free Beverages</v>
      </c>
    </row>
    <row r="135" spans="1:12" x14ac:dyDescent="0.25">
      <c r="A135">
        <v>10591</v>
      </c>
      <c r="B135" t="s">
        <v>67</v>
      </c>
      <c r="C135" t="s">
        <v>27</v>
      </c>
      <c r="D135" s="9">
        <v>9.9499999999999993</v>
      </c>
      <c r="E135">
        <v>201.01</v>
      </c>
      <c r="F135" t="s">
        <v>110</v>
      </c>
      <c r="G135" t="s">
        <v>113</v>
      </c>
      <c r="H135" t="s">
        <v>57</v>
      </c>
      <c r="I135" t="s">
        <v>14</v>
      </c>
      <c r="K135" t="str">
        <v>No discount</v>
      </c>
      <c r="L135" t="str">
        <v>Nothing</v>
      </c>
    </row>
    <row r="136" spans="1:12" x14ac:dyDescent="0.25">
      <c r="A136">
        <v>10592</v>
      </c>
      <c r="B136" t="s">
        <v>67</v>
      </c>
      <c r="C136" t="s">
        <v>10</v>
      </c>
      <c r="D136" s="9">
        <v>3.49</v>
      </c>
      <c r="E136">
        <v>573.07000000000005</v>
      </c>
      <c r="F136" t="s">
        <v>110</v>
      </c>
      <c r="G136" t="s">
        <v>113</v>
      </c>
      <c r="H136" t="s">
        <v>57</v>
      </c>
      <c r="I136" t="s">
        <v>14</v>
      </c>
      <c r="K136" t="str">
        <v>No discount</v>
      </c>
      <c r="L136" t="str">
        <v>Nothing</v>
      </c>
    </row>
    <row r="137" spans="1:12" x14ac:dyDescent="0.25">
      <c r="A137">
        <v>10593</v>
      </c>
      <c r="B137" t="s">
        <v>67</v>
      </c>
      <c r="C137" t="s">
        <v>15</v>
      </c>
      <c r="D137" s="9">
        <v>2.95</v>
      </c>
      <c r="E137">
        <v>677.97</v>
      </c>
      <c r="F137" t="s">
        <v>110</v>
      </c>
      <c r="G137" t="s">
        <v>113</v>
      </c>
      <c r="H137" t="s">
        <v>57</v>
      </c>
      <c r="I137" t="s">
        <v>14</v>
      </c>
      <c r="K137" t="str">
        <v>No discount</v>
      </c>
      <c r="L137" t="str">
        <v>Nothing</v>
      </c>
    </row>
    <row r="138" spans="1:12" x14ac:dyDescent="0.25">
      <c r="A138">
        <v>10594</v>
      </c>
      <c r="B138" t="s">
        <v>67</v>
      </c>
      <c r="C138" t="s">
        <v>18</v>
      </c>
      <c r="D138" s="9">
        <v>4.99</v>
      </c>
      <c r="E138">
        <v>200.4</v>
      </c>
      <c r="F138" t="s">
        <v>110</v>
      </c>
      <c r="G138" t="s">
        <v>113</v>
      </c>
      <c r="H138" t="s">
        <v>57</v>
      </c>
      <c r="I138" t="s">
        <v>14</v>
      </c>
      <c r="K138" t="str">
        <v>No discount</v>
      </c>
      <c r="L138" t="str">
        <v>Nothing</v>
      </c>
    </row>
    <row r="139" spans="1:12" x14ac:dyDescent="0.25">
      <c r="A139">
        <v>10595</v>
      </c>
      <c r="B139" t="s">
        <v>68</v>
      </c>
      <c r="C139" t="s">
        <v>23</v>
      </c>
      <c r="D139" s="9">
        <v>12.99</v>
      </c>
      <c r="E139">
        <v>538.88</v>
      </c>
      <c r="F139" t="s">
        <v>110</v>
      </c>
      <c r="G139" t="s">
        <v>113</v>
      </c>
      <c r="H139" t="s">
        <v>57</v>
      </c>
      <c r="I139" t="s">
        <v>14</v>
      </c>
      <c r="K139" t="str">
        <v>No discount</v>
      </c>
      <c r="L139" t="str">
        <v>Free Beverages</v>
      </c>
    </row>
    <row r="140" spans="1:12" x14ac:dyDescent="0.25">
      <c r="A140">
        <v>10596</v>
      </c>
      <c r="B140" t="s">
        <v>68</v>
      </c>
      <c r="C140" t="s">
        <v>27</v>
      </c>
      <c r="D140" s="9">
        <v>9.9499999999999993</v>
      </c>
      <c r="E140">
        <v>201.01</v>
      </c>
      <c r="F140" t="s">
        <v>110</v>
      </c>
      <c r="G140" t="s">
        <v>113</v>
      </c>
      <c r="H140" t="s">
        <v>57</v>
      </c>
      <c r="I140" t="s">
        <v>14</v>
      </c>
      <c r="K140" t="str">
        <v>No discount</v>
      </c>
      <c r="L140" t="str">
        <v>Nothing</v>
      </c>
    </row>
    <row r="141" spans="1:12" x14ac:dyDescent="0.25">
      <c r="A141">
        <v>10597</v>
      </c>
      <c r="B141" t="s">
        <v>68</v>
      </c>
      <c r="C141" t="s">
        <v>10</v>
      </c>
      <c r="D141" s="9">
        <v>3.49</v>
      </c>
      <c r="E141">
        <v>573.07000000000005</v>
      </c>
      <c r="F141" t="s">
        <v>110</v>
      </c>
      <c r="G141" t="s">
        <v>113</v>
      </c>
      <c r="H141" t="s">
        <v>57</v>
      </c>
      <c r="I141" t="s">
        <v>14</v>
      </c>
      <c r="K141" t="str">
        <v>No discount</v>
      </c>
      <c r="L141" t="str">
        <v>Nothing</v>
      </c>
    </row>
    <row r="142" spans="1:12" x14ac:dyDescent="0.25">
      <c r="A142">
        <v>10598</v>
      </c>
      <c r="B142" t="s">
        <v>68</v>
      </c>
      <c r="C142" t="s">
        <v>15</v>
      </c>
      <c r="D142" s="9">
        <v>2.95</v>
      </c>
      <c r="E142">
        <v>677.97</v>
      </c>
      <c r="F142" t="s">
        <v>110</v>
      </c>
      <c r="G142" t="s">
        <v>113</v>
      </c>
      <c r="H142" t="s">
        <v>57</v>
      </c>
      <c r="I142" t="s">
        <v>14</v>
      </c>
      <c r="K142" t="str">
        <v>No discount</v>
      </c>
      <c r="L142" t="str">
        <v>Nothing</v>
      </c>
    </row>
    <row r="143" spans="1:12" x14ac:dyDescent="0.25">
      <c r="A143">
        <v>10599</v>
      </c>
      <c r="B143" t="s">
        <v>68</v>
      </c>
      <c r="C143" t="s">
        <v>18</v>
      </c>
      <c r="D143" s="9">
        <v>4.99</v>
      </c>
      <c r="E143">
        <v>200.4</v>
      </c>
      <c r="F143" t="s">
        <v>110</v>
      </c>
      <c r="G143" t="s">
        <v>113</v>
      </c>
      <c r="H143" t="s">
        <v>57</v>
      </c>
      <c r="I143" t="s">
        <v>14</v>
      </c>
      <c r="K143" t="str">
        <v>No discount</v>
      </c>
      <c r="L143" t="str">
        <v>Nothing</v>
      </c>
    </row>
    <row r="144" spans="1:12" x14ac:dyDescent="0.25">
      <c r="A144">
        <v>10600</v>
      </c>
      <c r="B144" t="s">
        <v>69</v>
      </c>
      <c r="C144" t="s">
        <v>23</v>
      </c>
      <c r="D144" s="9">
        <v>12.99</v>
      </c>
      <c r="E144">
        <v>523.48</v>
      </c>
      <c r="F144" t="s">
        <v>110</v>
      </c>
      <c r="G144" t="s">
        <v>113</v>
      </c>
      <c r="H144" t="s">
        <v>57</v>
      </c>
      <c r="I144" t="s">
        <v>14</v>
      </c>
      <c r="K144" t="str">
        <v>No discount</v>
      </c>
      <c r="L144" t="str">
        <v>Free Beverages</v>
      </c>
    </row>
    <row r="145" spans="1:12" x14ac:dyDescent="0.25">
      <c r="A145">
        <v>10601</v>
      </c>
      <c r="B145" t="s">
        <v>69</v>
      </c>
      <c r="C145" t="s">
        <v>27</v>
      </c>
      <c r="D145" s="9">
        <v>9.9499999999999993</v>
      </c>
      <c r="E145">
        <v>201.01</v>
      </c>
      <c r="F145" t="s">
        <v>110</v>
      </c>
      <c r="G145" t="s">
        <v>113</v>
      </c>
      <c r="H145" t="s">
        <v>57</v>
      </c>
      <c r="I145" t="s">
        <v>14</v>
      </c>
      <c r="K145" t="str">
        <v>No discount</v>
      </c>
      <c r="L145" t="str">
        <v>Nothing</v>
      </c>
    </row>
    <row r="146" spans="1:12" x14ac:dyDescent="0.25">
      <c r="A146">
        <v>10602</v>
      </c>
      <c r="B146" t="s">
        <v>69</v>
      </c>
      <c r="C146" t="s">
        <v>10</v>
      </c>
      <c r="D146" s="9">
        <v>3.49</v>
      </c>
      <c r="E146">
        <v>630.37</v>
      </c>
      <c r="F146" t="s">
        <v>110</v>
      </c>
      <c r="G146" t="s">
        <v>115</v>
      </c>
      <c r="H146" t="s">
        <v>57</v>
      </c>
      <c r="I146" t="s">
        <v>14</v>
      </c>
      <c r="K146" t="str">
        <v>No discount</v>
      </c>
      <c r="L146" t="str">
        <v>Nothing</v>
      </c>
    </row>
    <row r="147" spans="1:12" x14ac:dyDescent="0.25">
      <c r="A147">
        <v>10603</v>
      </c>
      <c r="B147" t="s">
        <v>69</v>
      </c>
      <c r="C147" t="s">
        <v>15</v>
      </c>
      <c r="D147" s="9">
        <v>2.95</v>
      </c>
      <c r="E147">
        <v>677.97</v>
      </c>
      <c r="F147" t="s">
        <v>110</v>
      </c>
      <c r="G147" t="s">
        <v>115</v>
      </c>
      <c r="H147" t="s">
        <v>57</v>
      </c>
      <c r="I147" t="s">
        <v>14</v>
      </c>
      <c r="K147" t="str">
        <v>No discount</v>
      </c>
      <c r="L147" t="str">
        <v>Nothing</v>
      </c>
    </row>
    <row r="148" spans="1:12" x14ac:dyDescent="0.25">
      <c r="A148">
        <v>10604</v>
      </c>
      <c r="B148" t="s">
        <v>69</v>
      </c>
      <c r="C148" t="s">
        <v>18</v>
      </c>
      <c r="D148" s="9">
        <v>4.99</v>
      </c>
      <c r="E148">
        <v>200.4</v>
      </c>
      <c r="F148" t="s">
        <v>110</v>
      </c>
      <c r="G148" t="s">
        <v>115</v>
      </c>
      <c r="H148" t="s">
        <v>57</v>
      </c>
      <c r="I148" t="s">
        <v>14</v>
      </c>
      <c r="K148" t="str">
        <v>No discount</v>
      </c>
      <c r="L148" t="str">
        <v>Nothing</v>
      </c>
    </row>
    <row r="149" spans="1:12" x14ac:dyDescent="0.25">
      <c r="A149">
        <v>10605</v>
      </c>
      <c r="B149" t="s">
        <v>70</v>
      </c>
      <c r="C149" t="s">
        <v>23</v>
      </c>
      <c r="D149" s="9">
        <v>12.99</v>
      </c>
      <c r="E149">
        <v>538.88</v>
      </c>
      <c r="F149" t="s">
        <v>110</v>
      </c>
      <c r="G149" t="s">
        <v>115</v>
      </c>
      <c r="H149" t="s">
        <v>57</v>
      </c>
      <c r="I149" t="s">
        <v>14</v>
      </c>
      <c r="K149" t="str">
        <v>No discount</v>
      </c>
      <c r="L149" t="str">
        <v>Free Beverages</v>
      </c>
    </row>
    <row r="150" spans="1:12" x14ac:dyDescent="0.25">
      <c r="A150">
        <v>10606</v>
      </c>
      <c r="B150" t="s">
        <v>70</v>
      </c>
      <c r="C150" t="s">
        <v>27</v>
      </c>
      <c r="D150" s="9">
        <v>9.9499999999999993</v>
      </c>
      <c r="E150">
        <v>201.01</v>
      </c>
      <c r="F150" t="s">
        <v>110</v>
      </c>
      <c r="G150" t="s">
        <v>115</v>
      </c>
      <c r="H150" t="s">
        <v>57</v>
      </c>
      <c r="I150" t="s">
        <v>14</v>
      </c>
      <c r="K150" t="str">
        <v>No discount</v>
      </c>
      <c r="L150" t="str">
        <v>Nothing</v>
      </c>
    </row>
    <row r="151" spans="1:12" x14ac:dyDescent="0.25">
      <c r="A151">
        <v>10607</v>
      </c>
      <c r="B151" t="s">
        <v>70</v>
      </c>
      <c r="C151" t="s">
        <v>10</v>
      </c>
      <c r="D151" s="9">
        <v>3.49</v>
      </c>
      <c r="E151">
        <v>630.37</v>
      </c>
      <c r="F151" t="s">
        <v>110</v>
      </c>
      <c r="G151" t="s">
        <v>115</v>
      </c>
      <c r="H151" t="s">
        <v>57</v>
      </c>
      <c r="I151" t="s">
        <v>14</v>
      </c>
      <c r="K151" t="str">
        <v>No discount</v>
      </c>
      <c r="L151" t="str">
        <v>Nothing</v>
      </c>
    </row>
    <row r="152" spans="1:12" x14ac:dyDescent="0.25">
      <c r="A152">
        <v>10608</v>
      </c>
      <c r="B152" t="s">
        <v>70</v>
      </c>
      <c r="C152" t="s">
        <v>15</v>
      </c>
      <c r="D152" s="9">
        <v>2.95</v>
      </c>
      <c r="E152">
        <v>677.97</v>
      </c>
      <c r="F152" t="s">
        <v>110</v>
      </c>
      <c r="G152" t="s">
        <v>114</v>
      </c>
      <c r="H152" t="s">
        <v>57</v>
      </c>
      <c r="I152" t="s">
        <v>14</v>
      </c>
      <c r="K152" t="str">
        <v>No discount</v>
      </c>
      <c r="L152" t="str">
        <v>Nothing</v>
      </c>
    </row>
    <row r="153" spans="1:12" x14ac:dyDescent="0.25">
      <c r="A153">
        <v>10609</v>
      </c>
      <c r="B153" t="s">
        <v>70</v>
      </c>
      <c r="C153" t="s">
        <v>18</v>
      </c>
      <c r="D153" s="9">
        <v>4.99</v>
      </c>
      <c r="E153">
        <v>200.4</v>
      </c>
      <c r="F153" t="s">
        <v>110</v>
      </c>
      <c r="G153" t="s">
        <v>114</v>
      </c>
      <c r="H153" t="s">
        <v>57</v>
      </c>
      <c r="I153" t="s">
        <v>14</v>
      </c>
      <c r="K153" t="str">
        <v>No discount</v>
      </c>
      <c r="L153" t="str">
        <v>Nothing</v>
      </c>
    </row>
    <row r="154" spans="1:12" x14ac:dyDescent="0.25">
      <c r="A154">
        <v>10610</v>
      </c>
      <c r="B154" t="s">
        <v>71</v>
      </c>
      <c r="C154" t="s">
        <v>23</v>
      </c>
      <c r="D154" s="9">
        <v>12.99</v>
      </c>
      <c r="E154">
        <v>569.66999999999996</v>
      </c>
      <c r="F154" t="s">
        <v>110</v>
      </c>
      <c r="G154" t="s">
        <v>114</v>
      </c>
      <c r="H154" t="s">
        <v>57</v>
      </c>
      <c r="I154" t="s">
        <v>14</v>
      </c>
      <c r="K154" t="str">
        <v>No discount</v>
      </c>
      <c r="L154" t="str">
        <v>Free Beverages</v>
      </c>
    </row>
    <row r="155" spans="1:12" x14ac:dyDescent="0.25">
      <c r="A155">
        <v>10611</v>
      </c>
      <c r="B155" t="s">
        <v>71</v>
      </c>
      <c r="C155" t="s">
        <v>27</v>
      </c>
      <c r="D155" s="9">
        <v>9.9499999999999993</v>
      </c>
      <c r="E155">
        <v>201.01</v>
      </c>
      <c r="F155" t="s">
        <v>110</v>
      </c>
      <c r="G155" t="s">
        <v>114</v>
      </c>
      <c r="H155" t="s">
        <v>57</v>
      </c>
      <c r="I155" t="s">
        <v>14</v>
      </c>
      <c r="K155" t="str">
        <v>No discount</v>
      </c>
      <c r="L155" t="str">
        <v>Nothing</v>
      </c>
    </row>
    <row r="156" spans="1:12" x14ac:dyDescent="0.25">
      <c r="A156">
        <v>10612</v>
      </c>
      <c r="B156" t="s">
        <v>71</v>
      </c>
      <c r="C156" t="s">
        <v>10</v>
      </c>
      <c r="D156" s="9">
        <v>3.49</v>
      </c>
      <c r="E156">
        <v>630.37</v>
      </c>
      <c r="F156" t="s">
        <v>110</v>
      </c>
      <c r="G156" t="s">
        <v>114</v>
      </c>
      <c r="H156" t="s">
        <v>57</v>
      </c>
      <c r="I156" t="s">
        <v>14</v>
      </c>
      <c r="K156" t="str">
        <v>No discount</v>
      </c>
      <c r="L156" t="str">
        <v>Nothing</v>
      </c>
    </row>
    <row r="157" spans="1:12" x14ac:dyDescent="0.25">
      <c r="A157">
        <v>10613</v>
      </c>
      <c r="B157" t="s">
        <v>71</v>
      </c>
      <c r="C157" t="s">
        <v>15</v>
      </c>
      <c r="D157" s="9">
        <v>2.95</v>
      </c>
      <c r="E157">
        <v>677.97</v>
      </c>
      <c r="F157" t="s">
        <v>110</v>
      </c>
      <c r="G157" t="s">
        <v>114</v>
      </c>
      <c r="H157" t="s">
        <v>57</v>
      </c>
      <c r="I157" t="s">
        <v>14</v>
      </c>
      <c r="K157" t="str">
        <v>No discount</v>
      </c>
      <c r="L157" t="str">
        <v>Nothing</v>
      </c>
    </row>
    <row r="158" spans="1:12" x14ac:dyDescent="0.25">
      <c r="A158">
        <v>10614</v>
      </c>
      <c r="B158" t="s">
        <v>71</v>
      </c>
      <c r="C158" t="s">
        <v>18</v>
      </c>
      <c r="D158" s="9">
        <v>4.99</v>
      </c>
      <c r="E158">
        <v>200.4</v>
      </c>
      <c r="F158" t="s">
        <v>110</v>
      </c>
      <c r="G158" t="s">
        <v>114</v>
      </c>
      <c r="H158" t="s">
        <v>57</v>
      </c>
      <c r="I158" t="s">
        <v>14</v>
      </c>
      <c r="K158" t="str">
        <v>No discount</v>
      </c>
      <c r="L158" t="str">
        <v>Nothing</v>
      </c>
    </row>
    <row r="159" spans="1:12" x14ac:dyDescent="0.25">
      <c r="A159">
        <v>10615</v>
      </c>
      <c r="B159" t="s">
        <v>72</v>
      </c>
      <c r="C159" t="s">
        <v>23</v>
      </c>
      <c r="D159" s="9">
        <v>12.99</v>
      </c>
      <c r="E159">
        <v>569.66999999999996</v>
      </c>
      <c r="F159" t="s">
        <v>110</v>
      </c>
      <c r="G159" t="s">
        <v>114</v>
      </c>
      <c r="H159" t="s">
        <v>57</v>
      </c>
      <c r="I159" t="s">
        <v>14</v>
      </c>
      <c r="K159" t="str">
        <v>No discount</v>
      </c>
      <c r="L159" t="str">
        <v>Free Beverages</v>
      </c>
    </row>
    <row r="160" spans="1:12" x14ac:dyDescent="0.25">
      <c r="A160">
        <v>10616</v>
      </c>
      <c r="B160" t="s">
        <v>72</v>
      </c>
      <c r="C160" t="s">
        <v>27</v>
      </c>
      <c r="D160" s="9">
        <v>9.9499999999999993</v>
      </c>
      <c r="E160">
        <v>201.01</v>
      </c>
      <c r="F160" t="s">
        <v>110</v>
      </c>
      <c r="G160" t="s">
        <v>114</v>
      </c>
      <c r="H160" t="s">
        <v>57</v>
      </c>
      <c r="I160" t="s">
        <v>14</v>
      </c>
      <c r="K160" t="str">
        <v>No discount</v>
      </c>
      <c r="L160" t="str">
        <v>Nothing</v>
      </c>
    </row>
    <row r="161" spans="1:12" x14ac:dyDescent="0.25">
      <c r="A161">
        <v>10617</v>
      </c>
      <c r="B161" t="s">
        <v>72</v>
      </c>
      <c r="C161" t="s">
        <v>10</v>
      </c>
      <c r="D161" s="9">
        <v>3.49</v>
      </c>
      <c r="E161">
        <v>630.37</v>
      </c>
      <c r="F161" t="s">
        <v>110</v>
      </c>
      <c r="G161" t="s">
        <v>114</v>
      </c>
      <c r="H161" t="s">
        <v>57</v>
      </c>
      <c r="I161" t="s">
        <v>14</v>
      </c>
      <c r="K161" t="str">
        <v>No discount</v>
      </c>
      <c r="L161" t="str">
        <v>Nothing</v>
      </c>
    </row>
    <row r="162" spans="1:12" x14ac:dyDescent="0.25">
      <c r="A162">
        <v>10618</v>
      </c>
      <c r="B162" t="s">
        <v>72</v>
      </c>
      <c r="C162" t="s">
        <v>15</v>
      </c>
      <c r="D162" s="9">
        <v>2.95</v>
      </c>
      <c r="E162">
        <v>677.97</v>
      </c>
      <c r="F162" t="s">
        <v>110</v>
      </c>
      <c r="G162" t="s">
        <v>114</v>
      </c>
      <c r="H162" t="s">
        <v>57</v>
      </c>
      <c r="I162" t="s">
        <v>14</v>
      </c>
      <c r="K162" t="str">
        <v>No discount</v>
      </c>
      <c r="L162" t="str">
        <v>Nothing</v>
      </c>
    </row>
    <row r="163" spans="1:12" x14ac:dyDescent="0.25">
      <c r="A163">
        <v>10619</v>
      </c>
      <c r="B163" t="s">
        <v>72</v>
      </c>
      <c r="C163" t="s">
        <v>18</v>
      </c>
      <c r="D163" s="9">
        <v>4.99</v>
      </c>
      <c r="E163">
        <v>200.4</v>
      </c>
      <c r="F163" t="s">
        <v>110</v>
      </c>
      <c r="G163" t="s">
        <v>114</v>
      </c>
      <c r="H163" t="s">
        <v>57</v>
      </c>
      <c r="I163" t="s">
        <v>14</v>
      </c>
      <c r="K163" t="str">
        <v>No discount</v>
      </c>
      <c r="L163" t="str">
        <v>Nothing</v>
      </c>
    </row>
    <row r="164" spans="1:12" x14ac:dyDescent="0.25">
      <c r="A164">
        <v>10620</v>
      </c>
      <c r="B164" t="s">
        <v>73</v>
      </c>
      <c r="C164" t="s">
        <v>23</v>
      </c>
      <c r="D164" s="9">
        <v>12.99</v>
      </c>
      <c r="E164">
        <v>585.07000000000005</v>
      </c>
      <c r="F164" t="s">
        <v>110</v>
      </c>
      <c r="G164" t="s">
        <v>114</v>
      </c>
      <c r="H164" t="s">
        <v>57</v>
      </c>
      <c r="I164" t="s">
        <v>14</v>
      </c>
      <c r="K164" t="str">
        <v>No discount</v>
      </c>
      <c r="L164" t="str">
        <v>Free Beverages</v>
      </c>
    </row>
    <row r="165" spans="1:12" x14ac:dyDescent="0.25">
      <c r="A165">
        <v>10621</v>
      </c>
      <c r="B165" t="s">
        <v>73</v>
      </c>
      <c r="C165" t="s">
        <v>27</v>
      </c>
      <c r="D165" s="9">
        <v>9.9499999999999993</v>
      </c>
      <c r="E165">
        <v>201.01</v>
      </c>
      <c r="F165" t="s">
        <v>110</v>
      </c>
      <c r="G165" t="s">
        <v>114</v>
      </c>
      <c r="H165" t="s">
        <v>57</v>
      </c>
      <c r="I165" t="s">
        <v>14</v>
      </c>
      <c r="K165" t="str">
        <v>No discount</v>
      </c>
      <c r="L165" t="str">
        <v>Nothing</v>
      </c>
    </row>
    <row r="166" spans="1:12" x14ac:dyDescent="0.25">
      <c r="A166">
        <v>10622</v>
      </c>
      <c r="B166" t="s">
        <v>73</v>
      </c>
      <c r="C166" t="s">
        <v>10</v>
      </c>
      <c r="D166" s="9">
        <v>3.49</v>
      </c>
      <c r="E166">
        <v>630.37</v>
      </c>
      <c r="F166" t="s">
        <v>110</v>
      </c>
      <c r="G166" t="s">
        <v>114</v>
      </c>
      <c r="H166" t="s">
        <v>57</v>
      </c>
      <c r="I166" t="s">
        <v>14</v>
      </c>
      <c r="K166" t="str">
        <v>No discount</v>
      </c>
      <c r="L166" t="str">
        <v>Nothing</v>
      </c>
    </row>
    <row r="167" spans="1:12" x14ac:dyDescent="0.25">
      <c r="A167">
        <v>10623</v>
      </c>
      <c r="B167" t="s">
        <v>73</v>
      </c>
      <c r="C167" t="s">
        <v>15</v>
      </c>
      <c r="D167" s="9">
        <v>2.95</v>
      </c>
      <c r="E167">
        <v>745.76</v>
      </c>
      <c r="F167" t="s">
        <v>110</v>
      </c>
      <c r="G167" t="s">
        <v>114</v>
      </c>
      <c r="H167" t="s">
        <v>57</v>
      </c>
      <c r="I167" t="s">
        <v>14</v>
      </c>
      <c r="K167" t="str">
        <v>No discount</v>
      </c>
      <c r="L167" t="str">
        <v>Nothing</v>
      </c>
    </row>
    <row r="168" spans="1:12" x14ac:dyDescent="0.25">
      <c r="A168">
        <v>10624</v>
      </c>
      <c r="B168" t="s">
        <v>73</v>
      </c>
      <c r="C168" t="s">
        <v>18</v>
      </c>
      <c r="D168" s="9">
        <v>4.99</v>
      </c>
      <c r="E168">
        <v>200.4</v>
      </c>
      <c r="F168" t="s">
        <v>110</v>
      </c>
      <c r="G168" t="s">
        <v>114</v>
      </c>
      <c r="H168" t="s">
        <v>57</v>
      </c>
      <c r="I168" t="s">
        <v>14</v>
      </c>
      <c r="K168" t="str">
        <v>No discount</v>
      </c>
      <c r="L168" t="str">
        <v>Nothing</v>
      </c>
    </row>
    <row r="169" spans="1:12" x14ac:dyDescent="0.25">
      <c r="A169">
        <v>10625</v>
      </c>
      <c r="B169" t="s">
        <v>74</v>
      </c>
      <c r="C169" t="s">
        <v>23</v>
      </c>
      <c r="D169" s="9">
        <v>12.99</v>
      </c>
      <c r="E169">
        <v>569.66999999999996</v>
      </c>
      <c r="F169" t="s">
        <v>110</v>
      </c>
      <c r="G169" t="s">
        <v>114</v>
      </c>
      <c r="H169" t="s">
        <v>57</v>
      </c>
      <c r="I169" t="s">
        <v>14</v>
      </c>
      <c r="K169" t="str">
        <v>No discount</v>
      </c>
      <c r="L169" t="str">
        <v>Free Beverages</v>
      </c>
    </row>
    <row r="170" spans="1:12" x14ac:dyDescent="0.25">
      <c r="A170">
        <v>10626</v>
      </c>
      <c r="B170" t="s">
        <v>74</v>
      </c>
      <c r="C170" t="s">
        <v>27</v>
      </c>
      <c r="D170" s="9">
        <v>9.9499999999999993</v>
      </c>
      <c r="E170">
        <v>201.01</v>
      </c>
      <c r="F170" t="s">
        <v>110</v>
      </c>
      <c r="G170" t="s">
        <v>114</v>
      </c>
      <c r="H170" t="s">
        <v>57</v>
      </c>
      <c r="I170" t="s">
        <v>14</v>
      </c>
      <c r="K170" t="str">
        <v>No discount</v>
      </c>
      <c r="L170" t="str">
        <v>Nothing</v>
      </c>
    </row>
    <row r="171" spans="1:12" x14ac:dyDescent="0.25">
      <c r="A171">
        <v>10627</v>
      </c>
      <c r="B171" t="s">
        <v>74</v>
      </c>
      <c r="C171" t="s">
        <v>10</v>
      </c>
      <c r="D171" s="9">
        <v>3.49</v>
      </c>
      <c r="E171">
        <v>630.37</v>
      </c>
      <c r="F171" t="s">
        <v>110</v>
      </c>
      <c r="G171" t="s">
        <v>114</v>
      </c>
      <c r="H171" t="s">
        <v>57</v>
      </c>
      <c r="I171" t="s">
        <v>14</v>
      </c>
      <c r="K171" t="str">
        <v>No discount</v>
      </c>
      <c r="L171" t="str">
        <v>Nothing</v>
      </c>
    </row>
    <row r="172" spans="1:12" x14ac:dyDescent="0.25">
      <c r="A172">
        <v>10628</v>
      </c>
      <c r="B172" t="s">
        <v>74</v>
      </c>
      <c r="C172" t="s">
        <v>15</v>
      </c>
      <c r="D172" s="9">
        <v>2.95</v>
      </c>
      <c r="E172">
        <v>677.97</v>
      </c>
      <c r="F172" t="s">
        <v>110</v>
      </c>
      <c r="G172" t="s">
        <v>114</v>
      </c>
      <c r="H172" t="s">
        <v>42</v>
      </c>
      <c r="I172" t="s">
        <v>21</v>
      </c>
      <c r="K172" t="str">
        <v>No discount</v>
      </c>
      <c r="L172" t="str">
        <v>Nothing</v>
      </c>
    </row>
    <row r="173" spans="1:12" x14ac:dyDescent="0.25">
      <c r="A173">
        <v>10629</v>
      </c>
      <c r="B173" t="s">
        <v>74</v>
      </c>
      <c r="C173" t="s">
        <v>18</v>
      </c>
      <c r="D173" s="9">
        <v>4.99</v>
      </c>
      <c r="E173">
        <v>200.4</v>
      </c>
      <c r="F173" t="s">
        <v>110</v>
      </c>
      <c r="G173" t="s">
        <v>114</v>
      </c>
      <c r="H173" t="s">
        <v>42</v>
      </c>
      <c r="I173" t="s">
        <v>21</v>
      </c>
      <c r="K173" t="str">
        <v>No discount</v>
      </c>
      <c r="L173" t="str">
        <v>Nothing</v>
      </c>
    </row>
    <row r="174" spans="1:12" x14ac:dyDescent="0.25">
      <c r="A174">
        <v>10630</v>
      </c>
      <c r="B174" t="s">
        <v>75</v>
      </c>
      <c r="C174" t="s">
        <v>23</v>
      </c>
      <c r="D174" s="9">
        <v>12.99</v>
      </c>
      <c r="E174">
        <v>569.66999999999996</v>
      </c>
      <c r="F174" t="s">
        <v>110</v>
      </c>
      <c r="G174" t="s">
        <v>115</v>
      </c>
      <c r="H174" t="s">
        <v>42</v>
      </c>
      <c r="I174" t="s">
        <v>21</v>
      </c>
      <c r="K174" t="str">
        <v>No discount</v>
      </c>
      <c r="L174" t="str">
        <v>Free Beverages</v>
      </c>
    </row>
    <row r="175" spans="1:12" x14ac:dyDescent="0.25">
      <c r="A175">
        <v>10631</v>
      </c>
      <c r="B175" t="s">
        <v>75</v>
      </c>
      <c r="C175" t="s">
        <v>27</v>
      </c>
      <c r="D175" s="9">
        <v>9.9499999999999993</v>
      </c>
      <c r="E175">
        <v>201.01</v>
      </c>
      <c r="F175" t="s">
        <v>110</v>
      </c>
      <c r="G175" t="s">
        <v>114</v>
      </c>
      <c r="H175" t="s">
        <v>42</v>
      </c>
      <c r="I175" t="s">
        <v>21</v>
      </c>
      <c r="K175" t="str">
        <v>No discount</v>
      </c>
      <c r="L175" t="str">
        <v>Nothing</v>
      </c>
    </row>
    <row r="176" spans="1:12" x14ac:dyDescent="0.25">
      <c r="A176">
        <v>10632</v>
      </c>
      <c r="B176" t="s">
        <v>75</v>
      </c>
      <c r="C176" t="s">
        <v>10</v>
      </c>
      <c r="D176" s="9">
        <v>3.49</v>
      </c>
      <c r="E176">
        <v>630.37</v>
      </c>
      <c r="F176" t="s">
        <v>110</v>
      </c>
      <c r="G176" t="s">
        <v>114</v>
      </c>
      <c r="H176" t="s">
        <v>42</v>
      </c>
      <c r="I176" t="s">
        <v>21</v>
      </c>
      <c r="K176" t="str">
        <v>No discount</v>
      </c>
      <c r="L176" t="str">
        <v>Nothing</v>
      </c>
    </row>
    <row r="177" spans="1:12" x14ac:dyDescent="0.25">
      <c r="A177">
        <v>10633</v>
      </c>
      <c r="B177" t="s">
        <v>75</v>
      </c>
      <c r="C177" t="s">
        <v>15</v>
      </c>
      <c r="D177" s="9">
        <v>2.95</v>
      </c>
      <c r="E177">
        <v>677.97</v>
      </c>
      <c r="F177" t="s">
        <v>110</v>
      </c>
      <c r="G177" t="s">
        <v>114</v>
      </c>
      <c r="H177" t="s">
        <v>42</v>
      </c>
      <c r="I177" t="s">
        <v>21</v>
      </c>
      <c r="K177" t="str">
        <v>No discount</v>
      </c>
      <c r="L177" t="str">
        <v>Nothing</v>
      </c>
    </row>
    <row r="178" spans="1:12" x14ac:dyDescent="0.25">
      <c r="A178">
        <v>10634</v>
      </c>
      <c r="B178" t="s">
        <v>75</v>
      </c>
      <c r="C178" t="s">
        <v>18</v>
      </c>
      <c r="D178" s="9">
        <v>4.99</v>
      </c>
      <c r="E178">
        <v>200.4</v>
      </c>
      <c r="F178" t="s">
        <v>110</v>
      </c>
      <c r="G178" t="s">
        <v>114</v>
      </c>
      <c r="H178" t="s">
        <v>42</v>
      </c>
      <c r="I178" t="s">
        <v>21</v>
      </c>
      <c r="K178" t="str">
        <v>No discount</v>
      </c>
      <c r="L178" t="str">
        <v>Nothing</v>
      </c>
    </row>
    <row r="179" spans="1:12" x14ac:dyDescent="0.25">
      <c r="A179">
        <v>10635</v>
      </c>
      <c r="B179" t="s">
        <v>76</v>
      </c>
      <c r="C179" t="s">
        <v>23</v>
      </c>
      <c r="D179" s="9">
        <v>12.99</v>
      </c>
      <c r="E179">
        <v>554.27</v>
      </c>
      <c r="F179" t="s">
        <v>110</v>
      </c>
      <c r="G179" t="s">
        <v>114</v>
      </c>
      <c r="H179" t="s">
        <v>42</v>
      </c>
      <c r="I179" t="s">
        <v>21</v>
      </c>
      <c r="K179" t="str">
        <v>No discount</v>
      </c>
      <c r="L179" t="str">
        <v>Free Beverages</v>
      </c>
    </row>
    <row r="180" spans="1:12" x14ac:dyDescent="0.25">
      <c r="A180">
        <v>10636</v>
      </c>
      <c r="B180" t="s">
        <v>76</v>
      </c>
      <c r="C180" t="s">
        <v>27</v>
      </c>
      <c r="D180" s="9">
        <v>9.9499999999999993</v>
      </c>
      <c r="E180">
        <v>221.11</v>
      </c>
      <c r="F180" t="s">
        <v>110</v>
      </c>
      <c r="G180" t="s">
        <v>114</v>
      </c>
      <c r="H180" t="s">
        <v>42</v>
      </c>
      <c r="I180" t="s">
        <v>21</v>
      </c>
      <c r="K180" t="str">
        <v>No discount</v>
      </c>
      <c r="L180" t="str">
        <v>Nothing</v>
      </c>
    </row>
    <row r="181" spans="1:12" x14ac:dyDescent="0.25">
      <c r="A181">
        <v>10637</v>
      </c>
      <c r="B181" t="s">
        <v>76</v>
      </c>
      <c r="C181" t="s">
        <v>10</v>
      </c>
      <c r="D181" s="9">
        <v>3.49</v>
      </c>
      <c r="E181">
        <v>630.37</v>
      </c>
      <c r="F181" t="s">
        <v>110</v>
      </c>
      <c r="G181" t="s">
        <v>114</v>
      </c>
      <c r="H181" t="s">
        <v>42</v>
      </c>
      <c r="I181" t="s">
        <v>21</v>
      </c>
      <c r="K181" t="str">
        <v>No discount</v>
      </c>
      <c r="L181" t="str">
        <v>Nothing</v>
      </c>
    </row>
    <row r="182" spans="1:12" x14ac:dyDescent="0.25">
      <c r="A182">
        <v>10638</v>
      </c>
      <c r="B182" t="s">
        <v>76</v>
      </c>
      <c r="C182" t="s">
        <v>15</v>
      </c>
      <c r="D182" s="9">
        <v>2.95</v>
      </c>
      <c r="E182">
        <v>677.97</v>
      </c>
      <c r="F182" t="s">
        <v>110</v>
      </c>
      <c r="G182" t="s">
        <v>114</v>
      </c>
      <c r="H182" t="s">
        <v>42</v>
      </c>
      <c r="I182" t="s">
        <v>21</v>
      </c>
      <c r="K182" t="str">
        <v>No discount</v>
      </c>
      <c r="L182" t="str">
        <v>Nothing</v>
      </c>
    </row>
    <row r="183" spans="1:12" x14ac:dyDescent="0.25">
      <c r="A183">
        <v>10639</v>
      </c>
      <c r="B183" t="s">
        <v>76</v>
      </c>
      <c r="C183" t="s">
        <v>18</v>
      </c>
      <c r="D183" s="9">
        <v>4.99</v>
      </c>
      <c r="E183">
        <v>200.4</v>
      </c>
      <c r="F183" t="s">
        <v>110</v>
      </c>
      <c r="G183" t="s">
        <v>114</v>
      </c>
      <c r="H183" t="s">
        <v>42</v>
      </c>
      <c r="I183" t="s">
        <v>21</v>
      </c>
      <c r="K183" t="str">
        <v>No discount</v>
      </c>
      <c r="L183" t="str">
        <v>Nothing</v>
      </c>
    </row>
    <row r="184" spans="1:12" x14ac:dyDescent="0.25">
      <c r="A184">
        <v>10640</v>
      </c>
      <c r="B184" t="s">
        <v>77</v>
      </c>
      <c r="C184" t="s">
        <v>23</v>
      </c>
      <c r="D184" s="9">
        <v>12.99</v>
      </c>
      <c r="E184">
        <v>538.88</v>
      </c>
      <c r="F184" t="s">
        <v>110</v>
      </c>
      <c r="G184" t="s">
        <v>114</v>
      </c>
      <c r="H184" t="s">
        <v>42</v>
      </c>
      <c r="I184" t="s">
        <v>21</v>
      </c>
      <c r="K184" t="str">
        <v>No discount</v>
      </c>
      <c r="L184" t="str">
        <v>Free Beverages</v>
      </c>
    </row>
    <row r="185" spans="1:12" x14ac:dyDescent="0.25">
      <c r="A185">
        <v>10641</v>
      </c>
      <c r="B185" t="s">
        <v>77</v>
      </c>
      <c r="C185" t="s">
        <v>27</v>
      </c>
      <c r="D185" s="9">
        <v>9.9499999999999993</v>
      </c>
      <c r="E185">
        <v>221.11</v>
      </c>
      <c r="F185" t="s">
        <v>110</v>
      </c>
      <c r="G185" t="s">
        <v>114</v>
      </c>
      <c r="H185" t="s">
        <v>42</v>
      </c>
      <c r="I185" t="s">
        <v>21</v>
      </c>
      <c r="K185" t="str">
        <v>No discount</v>
      </c>
      <c r="L185" t="str">
        <v>Nothing</v>
      </c>
    </row>
    <row r="186" spans="1:12" x14ac:dyDescent="0.25">
      <c r="A186">
        <v>10642</v>
      </c>
      <c r="B186" t="s">
        <v>77</v>
      </c>
      <c r="C186" t="s">
        <v>10</v>
      </c>
      <c r="D186" s="9">
        <v>3.49</v>
      </c>
      <c r="E186">
        <v>630.37</v>
      </c>
      <c r="F186" t="s">
        <v>110</v>
      </c>
      <c r="G186" t="s">
        <v>115</v>
      </c>
      <c r="H186" t="s">
        <v>42</v>
      </c>
      <c r="I186" t="s">
        <v>21</v>
      </c>
      <c r="K186" t="str">
        <v>No discount</v>
      </c>
      <c r="L186" t="str">
        <v>Nothing</v>
      </c>
    </row>
    <row r="187" spans="1:12" x14ac:dyDescent="0.25">
      <c r="A187">
        <v>10643</v>
      </c>
      <c r="B187" t="s">
        <v>77</v>
      </c>
      <c r="C187" t="s">
        <v>15</v>
      </c>
      <c r="D187" s="9">
        <v>2.95</v>
      </c>
      <c r="E187">
        <v>677.97</v>
      </c>
      <c r="F187" t="s">
        <v>110</v>
      </c>
      <c r="G187" t="s">
        <v>115</v>
      </c>
      <c r="H187" t="s">
        <v>42</v>
      </c>
      <c r="I187" t="s">
        <v>21</v>
      </c>
      <c r="K187" t="str">
        <v>No discount</v>
      </c>
      <c r="L187" t="str">
        <v>Nothing</v>
      </c>
    </row>
    <row r="188" spans="1:12" x14ac:dyDescent="0.25">
      <c r="A188">
        <v>10644</v>
      </c>
      <c r="B188" t="s">
        <v>77</v>
      </c>
      <c r="C188" t="s">
        <v>18</v>
      </c>
      <c r="D188" s="9">
        <v>4.99</v>
      </c>
      <c r="E188">
        <v>200.4</v>
      </c>
      <c r="F188" t="s">
        <v>110</v>
      </c>
      <c r="G188" t="s">
        <v>115</v>
      </c>
      <c r="H188" t="s">
        <v>42</v>
      </c>
      <c r="I188" t="s">
        <v>21</v>
      </c>
      <c r="K188" t="str">
        <v>No discount</v>
      </c>
      <c r="L188" t="str">
        <v>Nothing</v>
      </c>
    </row>
    <row r="189" spans="1:12" x14ac:dyDescent="0.25">
      <c r="A189">
        <v>10645</v>
      </c>
      <c r="B189" t="s">
        <v>78</v>
      </c>
      <c r="C189" t="s">
        <v>23</v>
      </c>
      <c r="D189" s="9">
        <v>12.99</v>
      </c>
      <c r="E189">
        <v>569.66999999999996</v>
      </c>
      <c r="F189" t="s">
        <v>110</v>
      </c>
      <c r="G189" t="s">
        <v>115</v>
      </c>
      <c r="H189" t="s">
        <v>42</v>
      </c>
      <c r="I189" t="s">
        <v>21</v>
      </c>
      <c r="K189" t="str">
        <v>No discount</v>
      </c>
      <c r="L189" t="str">
        <v>Free Beverages</v>
      </c>
    </row>
    <row r="190" spans="1:12" x14ac:dyDescent="0.25">
      <c r="A190">
        <v>10646</v>
      </c>
      <c r="B190" t="s">
        <v>78</v>
      </c>
      <c r="C190" t="s">
        <v>27</v>
      </c>
      <c r="D190" s="9">
        <v>9.9499999999999993</v>
      </c>
      <c r="E190">
        <v>221.11</v>
      </c>
      <c r="F190" t="s">
        <v>110</v>
      </c>
      <c r="G190" t="s">
        <v>115</v>
      </c>
      <c r="H190" t="s">
        <v>42</v>
      </c>
      <c r="I190" t="s">
        <v>21</v>
      </c>
      <c r="K190" t="str">
        <v>No discount</v>
      </c>
      <c r="L190" t="str">
        <v>Nothing</v>
      </c>
    </row>
    <row r="191" spans="1:12" x14ac:dyDescent="0.25">
      <c r="A191">
        <v>10647</v>
      </c>
      <c r="B191" t="s">
        <v>78</v>
      </c>
      <c r="C191" t="s">
        <v>10</v>
      </c>
      <c r="D191" s="9">
        <v>3.49</v>
      </c>
      <c r="E191">
        <v>630.37</v>
      </c>
      <c r="F191" t="s">
        <v>110</v>
      </c>
      <c r="G191" t="s">
        <v>114</v>
      </c>
      <c r="H191" t="s">
        <v>42</v>
      </c>
      <c r="I191" t="s">
        <v>21</v>
      </c>
      <c r="K191" t="str">
        <v>No discount</v>
      </c>
      <c r="L191" t="str">
        <v>Nothing</v>
      </c>
    </row>
    <row r="192" spans="1:12" x14ac:dyDescent="0.25">
      <c r="A192">
        <v>10648</v>
      </c>
      <c r="B192" t="s">
        <v>78</v>
      </c>
      <c r="C192" t="s">
        <v>15</v>
      </c>
      <c r="D192" s="9">
        <v>2.95</v>
      </c>
      <c r="E192">
        <v>745.76</v>
      </c>
      <c r="F192" t="s">
        <v>110</v>
      </c>
      <c r="G192" t="s">
        <v>114</v>
      </c>
      <c r="H192" t="s">
        <v>42</v>
      </c>
      <c r="I192" t="s">
        <v>21</v>
      </c>
      <c r="K192" t="str">
        <v>No discount</v>
      </c>
      <c r="L192" t="str">
        <v>Nothing</v>
      </c>
    </row>
    <row r="193" spans="1:12" x14ac:dyDescent="0.25">
      <c r="A193">
        <v>10649</v>
      </c>
      <c r="B193" t="s">
        <v>78</v>
      </c>
      <c r="C193" t="s">
        <v>18</v>
      </c>
      <c r="D193" s="9">
        <v>4.99</v>
      </c>
      <c r="E193">
        <v>200.4</v>
      </c>
      <c r="F193" t="s">
        <v>110</v>
      </c>
      <c r="G193" t="s">
        <v>114</v>
      </c>
      <c r="H193" t="s">
        <v>42</v>
      </c>
      <c r="I193" t="s">
        <v>21</v>
      </c>
      <c r="K193" t="str">
        <v>No discount</v>
      </c>
      <c r="L193" t="str">
        <v>Nothing</v>
      </c>
    </row>
    <row r="194" spans="1:12" x14ac:dyDescent="0.25">
      <c r="A194">
        <v>10650</v>
      </c>
      <c r="B194" t="s">
        <v>79</v>
      </c>
      <c r="C194" t="s">
        <v>23</v>
      </c>
      <c r="D194" s="9">
        <v>12.99</v>
      </c>
      <c r="E194">
        <v>585.07000000000005</v>
      </c>
      <c r="F194" t="s">
        <v>110</v>
      </c>
      <c r="G194" t="s">
        <v>114</v>
      </c>
      <c r="H194" t="s">
        <v>42</v>
      </c>
      <c r="I194" t="s">
        <v>21</v>
      </c>
      <c r="K194" t="str">
        <v>No discount</v>
      </c>
      <c r="L194" t="str">
        <v>Free Beverages</v>
      </c>
    </row>
    <row r="195" spans="1:12" x14ac:dyDescent="0.25">
      <c r="A195">
        <v>10651</v>
      </c>
      <c r="B195" t="s">
        <v>79</v>
      </c>
      <c r="C195" t="s">
        <v>27</v>
      </c>
      <c r="D195" s="9">
        <v>9.9499999999999993</v>
      </c>
      <c r="E195">
        <v>221.11</v>
      </c>
      <c r="F195" t="s">
        <v>110</v>
      </c>
      <c r="G195" t="s">
        <v>114</v>
      </c>
      <c r="H195" t="s">
        <v>42</v>
      </c>
      <c r="I195" t="s">
        <v>21</v>
      </c>
      <c r="K195" t="str">
        <v>No discount</v>
      </c>
      <c r="L195" t="str">
        <v>Nothing</v>
      </c>
    </row>
    <row r="196" spans="1:12" x14ac:dyDescent="0.25">
      <c r="A196">
        <v>10652</v>
      </c>
      <c r="B196" t="s">
        <v>79</v>
      </c>
      <c r="C196" t="s">
        <v>10</v>
      </c>
      <c r="D196" s="9">
        <v>3.49</v>
      </c>
      <c r="E196">
        <v>687.68</v>
      </c>
      <c r="F196" t="s">
        <v>110</v>
      </c>
      <c r="G196" t="s">
        <v>114</v>
      </c>
      <c r="H196" t="s">
        <v>42</v>
      </c>
      <c r="I196" t="s">
        <v>21</v>
      </c>
      <c r="K196" t="str">
        <v>No discount</v>
      </c>
      <c r="L196" t="str">
        <v>Nothing</v>
      </c>
    </row>
    <row r="197" spans="1:12" x14ac:dyDescent="0.25">
      <c r="A197">
        <v>10653</v>
      </c>
      <c r="B197" t="s">
        <v>79</v>
      </c>
      <c r="C197" t="s">
        <v>15</v>
      </c>
      <c r="D197" s="9">
        <v>2.95</v>
      </c>
      <c r="E197">
        <v>745.76</v>
      </c>
      <c r="F197" t="s">
        <v>110</v>
      </c>
      <c r="G197" t="s">
        <v>114</v>
      </c>
      <c r="H197" t="s">
        <v>42</v>
      </c>
      <c r="I197" t="s">
        <v>21</v>
      </c>
      <c r="K197" t="str">
        <v>No discount</v>
      </c>
      <c r="L197" t="str">
        <v>Nothing</v>
      </c>
    </row>
    <row r="198" spans="1:12" x14ac:dyDescent="0.25">
      <c r="A198">
        <v>10654</v>
      </c>
      <c r="B198" t="s">
        <v>79</v>
      </c>
      <c r="C198" t="s">
        <v>18</v>
      </c>
      <c r="D198" s="9">
        <v>4.99</v>
      </c>
      <c r="E198">
        <v>200.4</v>
      </c>
      <c r="F198" t="s">
        <v>110</v>
      </c>
      <c r="G198" t="s">
        <v>114</v>
      </c>
      <c r="H198" t="s">
        <v>42</v>
      </c>
      <c r="I198" t="s">
        <v>21</v>
      </c>
      <c r="K198" t="str">
        <v>No discount</v>
      </c>
      <c r="L198" t="str">
        <v>Nothing</v>
      </c>
    </row>
    <row r="199" spans="1:12" x14ac:dyDescent="0.25">
      <c r="A199">
        <v>10655</v>
      </c>
      <c r="B199" t="s">
        <v>80</v>
      </c>
      <c r="C199" t="s">
        <v>23</v>
      </c>
      <c r="D199" s="9">
        <v>12.99</v>
      </c>
      <c r="E199">
        <v>600.46</v>
      </c>
      <c r="F199" t="s">
        <v>110</v>
      </c>
      <c r="G199" t="s">
        <v>114</v>
      </c>
      <c r="H199" t="s">
        <v>42</v>
      </c>
      <c r="I199" t="s">
        <v>21</v>
      </c>
      <c r="K199" t="str">
        <v>No discount</v>
      </c>
      <c r="L199" t="str">
        <v>Free Beverages</v>
      </c>
    </row>
    <row r="200" spans="1:12" x14ac:dyDescent="0.25">
      <c r="A200">
        <v>10656</v>
      </c>
      <c r="B200" t="s">
        <v>80</v>
      </c>
      <c r="C200" t="s">
        <v>27</v>
      </c>
      <c r="D200" s="9">
        <v>9.9499999999999993</v>
      </c>
      <c r="E200">
        <v>221.11</v>
      </c>
      <c r="F200" t="s">
        <v>110</v>
      </c>
      <c r="G200" t="s">
        <v>114</v>
      </c>
      <c r="H200" t="s">
        <v>42</v>
      </c>
      <c r="I200" t="s">
        <v>21</v>
      </c>
      <c r="K200" t="str">
        <v>No discount</v>
      </c>
      <c r="L200" t="str">
        <v>Nothing</v>
      </c>
    </row>
    <row r="201" spans="1:12" x14ac:dyDescent="0.25">
      <c r="A201">
        <v>10657</v>
      </c>
      <c r="B201" t="s">
        <v>80</v>
      </c>
      <c r="C201" t="s">
        <v>10</v>
      </c>
      <c r="D201" s="9">
        <v>3.49</v>
      </c>
      <c r="E201">
        <v>687.68</v>
      </c>
      <c r="F201" t="s">
        <v>110</v>
      </c>
      <c r="G201" t="s">
        <v>114</v>
      </c>
      <c r="H201" t="s">
        <v>42</v>
      </c>
      <c r="I201" t="s">
        <v>21</v>
      </c>
      <c r="K201" t="str">
        <v>No discount</v>
      </c>
      <c r="L201" t="str">
        <v>Nothing</v>
      </c>
    </row>
    <row r="202" spans="1:12" x14ac:dyDescent="0.25">
      <c r="A202">
        <v>10658</v>
      </c>
      <c r="B202" t="s">
        <v>80</v>
      </c>
      <c r="C202" t="s">
        <v>15</v>
      </c>
      <c r="D202" s="9">
        <v>2.95</v>
      </c>
      <c r="E202">
        <v>745.76</v>
      </c>
      <c r="F202" t="s">
        <v>110</v>
      </c>
      <c r="G202" t="s">
        <v>115</v>
      </c>
      <c r="H202" t="s">
        <v>42</v>
      </c>
      <c r="I202" t="s">
        <v>21</v>
      </c>
      <c r="K202" t="str">
        <v>No discount</v>
      </c>
      <c r="L202" t="str">
        <v>Nothing</v>
      </c>
    </row>
    <row r="203" spans="1:12" x14ac:dyDescent="0.25">
      <c r="A203">
        <v>10659</v>
      </c>
      <c r="B203" t="s">
        <v>80</v>
      </c>
      <c r="C203" t="s">
        <v>18</v>
      </c>
      <c r="D203" s="9">
        <v>4.99</v>
      </c>
      <c r="E203">
        <v>200.4</v>
      </c>
      <c r="F203" t="s">
        <v>110</v>
      </c>
      <c r="G203" t="s">
        <v>115</v>
      </c>
      <c r="H203" t="s">
        <v>42</v>
      </c>
      <c r="I203" t="s">
        <v>21</v>
      </c>
      <c r="K203" t="str">
        <v>No discount</v>
      </c>
      <c r="L203" t="str">
        <v>Nothing</v>
      </c>
    </row>
    <row r="204" spans="1:12" x14ac:dyDescent="0.25">
      <c r="A204">
        <v>10660</v>
      </c>
      <c r="B204" t="s">
        <v>81</v>
      </c>
      <c r="C204" t="s">
        <v>23</v>
      </c>
      <c r="D204" s="9">
        <v>12.99</v>
      </c>
      <c r="E204">
        <v>631.25</v>
      </c>
      <c r="F204" t="s">
        <v>111</v>
      </c>
      <c r="G204" t="s">
        <v>115</v>
      </c>
      <c r="H204" t="s">
        <v>42</v>
      </c>
      <c r="I204" t="s">
        <v>21</v>
      </c>
      <c r="K204" t="str">
        <v>No discount</v>
      </c>
      <c r="L204" t="str">
        <v>Free Beverages</v>
      </c>
    </row>
    <row r="205" spans="1:12" x14ac:dyDescent="0.25">
      <c r="A205">
        <v>10661</v>
      </c>
      <c r="B205" t="s">
        <v>81</v>
      </c>
      <c r="C205" t="s">
        <v>27</v>
      </c>
      <c r="D205" s="9">
        <v>9.9499999999999993</v>
      </c>
      <c r="E205">
        <v>221.11</v>
      </c>
      <c r="F205" t="s">
        <v>111</v>
      </c>
      <c r="G205" t="s">
        <v>115</v>
      </c>
      <c r="H205" t="s">
        <v>42</v>
      </c>
      <c r="I205" t="s">
        <v>21</v>
      </c>
      <c r="K205" t="str">
        <v>No discount</v>
      </c>
      <c r="L205" t="str">
        <v>Nothing</v>
      </c>
    </row>
    <row r="206" spans="1:12" x14ac:dyDescent="0.25">
      <c r="A206">
        <v>10662</v>
      </c>
      <c r="B206" t="s">
        <v>81</v>
      </c>
      <c r="C206" t="s">
        <v>10</v>
      </c>
      <c r="D206" s="9">
        <v>3.49</v>
      </c>
      <c r="E206">
        <v>630.37</v>
      </c>
      <c r="F206" t="s">
        <v>111</v>
      </c>
      <c r="G206" t="s">
        <v>115</v>
      </c>
      <c r="H206" t="s">
        <v>42</v>
      </c>
      <c r="I206" t="s">
        <v>21</v>
      </c>
      <c r="K206" t="str">
        <v>No discount</v>
      </c>
      <c r="L206" t="str">
        <v>Nothing</v>
      </c>
    </row>
    <row r="207" spans="1:12" x14ac:dyDescent="0.25">
      <c r="A207">
        <v>10663</v>
      </c>
      <c r="B207" t="s">
        <v>81</v>
      </c>
      <c r="C207" t="s">
        <v>15</v>
      </c>
      <c r="D207" s="9">
        <v>2.95</v>
      </c>
      <c r="E207">
        <v>745.76</v>
      </c>
      <c r="F207" t="s">
        <v>111</v>
      </c>
      <c r="G207" t="s">
        <v>115</v>
      </c>
      <c r="H207" t="s">
        <v>42</v>
      </c>
      <c r="I207" t="s">
        <v>21</v>
      </c>
      <c r="K207" t="str">
        <v>No discount</v>
      </c>
      <c r="L207" t="str">
        <v>Nothing</v>
      </c>
    </row>
    <row r="208" spans="1:12" x14ac:dyDescent="0.25">
      <c r="A208">
        <v>10664</v>
      </c>
      <c r="B208" t="s">
        <v>81</v>
      </c>
      <c r="C208" t="s">
        <v>18</v>
      </c>
      <c r="D208" s="9">
        <v>4.99</v>
      </c>
      <c r="E208">
        <v>200.4</v>
      </c>
      <c r="F208" t="s">
        <v>111</v>
      </c>
      <c r="G208" t="s">
        <v>115</v>
      </c>
      <c r="H208" t="s">
        <v>42</v>
      </c>
      <c r="I208" t="s">
        <v>21</v>
      </c>
      <c r="K208" t="str">
        <v>No discount</v>
      </c>
      <c r="L208" t="str">
        <v>Nothing</v>
      </c>
    </row>
    <row r="209" spans="1:12" x14ac:dyDescent="0.25">
      <c r="A209">
        <v>10665</v>
      </c>
      <c r="B209" t="s">
        <v>82</v>
      </c>
      <c r="C209" t="s">
        <v>23</v>
      </c>
      <c r="D209" s="9">
        <v>12.99</v>
      </c>
      <c r="E209">
        <v>646.65</v>
      </c>
      <c r="F209" t="s">
        <v>111</v>
      </c>
      <c r="G209" t="s">
        <v>115</v>
      </c>
      <c r="H209" t="s">
        <v>42</v>
      </c>
      <c r="I209" t="s">
        <v>21</v>
      </c>
      <c r="K209" t="str">
        <v>No discount</v>
      </c>
      <c r="L209" t="str">
        <v>Free Beverages</v>
      </c>
    </row>
    <row r="210" spans="1:12" x14ac:dyDescent="0.25">
      <c r="A210">
        <v>10666</v>
      </c>
      <c r="B210" t="s">
        <v>82</v>
      </c>
      <c r="C210" t="s">
        <v>27</v>
      </c>
      <c r="D210" s="9">
        <v>9.9499999999999993</v>
      </c>
      <c r="E210">
        <v>221.11</v>
      </c>
      <c r="F210" t="s">
        <v>111</v>
      </c>
      <c r="G210" t="s">
        <v>115</v>
      </c>
      <c r="H210" t="s">
        <v>42</v>
      </c>
      <c r="I210" t="s">
        <v>21</v>
      </c>
      <c r="K210" t="str">
        <v>No discount</v>
      </c>
      <c r="L210" t="str">
        <v>Nothing</v>
      </c>
    </row>
    <row r="211" spans="1:12" x14ac:dyDescent="0.25">
      <c r="A211">
        <v>10667</v>
      </c>
      <c r="B211" t="s">
        <v>82</v>
      </c>
      <c r="C211" t="s">
        <v>10</v>
      </c>
      <c r="D211" s="9">
        <v>3.49</v>
      </c>
      <c r="E211">
        <v>630.37</v>
      </c>
      <c r="F211" t="s">
        <v>111</v>
      </c>
      <c r="G211" t="s">
        <v>115</v>
      </c>
      <c r="H211" t="s">
        <v>42</v>
      </c>
      <c r="I211" t="s">
        <v>21</v>
      </c>
      <c r="K211" t="str">
        <v>No discount</v>
      </c>
      <c r="L211" t="str">
        <v>Nothing</v>
      </c>
    </row>
    <row r="212" spans="1:12" x14ac:dyDescent="0.25">
      <c r="A212">
        <v>10668</v>
      </c>
      <c r="B212" t="s">
        <v>82</v>
      </c>
      <c r="C212" t="s">
        <v>15</v>
      </c>
      <c r="D212" s="9">
        <v>2.95</v>
      </c>
      <c r="E212">
        <v>745.76</v>
      </c>
      <c r="F212" t="s">
        <v>111</v>
      </c>
      <c r="G212" t="s">
        <v>115</v>
      </c>
      <c r="H212" t="s">
        <v>42</v>
      </c>
      <c r="I212" t="s">
        <v>21</v>
      </c>
      <c r="K212" t="str">
        <v>No discount</v>
      </c>
      <c r="L212" t="str">
        <v>Nothing</v>
      </c>
    </row>
    <row r="213" spans="1:12" x14ac:dyDescent="0.25">
      <c r="A213">
        <v>10669</v>
      </c>
      <c r="B213" t="s">
        <v>82</v>
      </c>
      <c r="C213" t="s">
        <v>18</v>
      </c>
      <c r="D213" s="9">
        <v>4.99</v>
      </c>
      <c r="E213">
        <v>200.4</v>
      </c>
      <c r="F213" t="s">
        <v>111</v>
      </c>
      <c r="G213" t="s">
        <v>115</v>
      </c>
      <c r="H213" t="s">
        <v>42</v>
      </c>
      <c r="I213" t="s">
        <v>21</v>
      </c>
      <c r="K213" t="str">
        <v>No discount</v>
      </c>
      <c r="L213" t="str">
        <v>Nothing</v>
      </c>
    </row>
    <row r="214" spans="1:12" x14ac:dyDescent="0.25">
      <c r="A214">
        <v>10670</v>
      </c>
      <c r="B214" t="s">
        <v>83</v>
      </c>
      <c r="C214" t="s">
        <v>23</v>
      </c>
      <c r="D214" s="9">
        <v>12.99</v>
      </c>
      <c r="E214">
        <v>677.44</v>
      </c>
      <c r="F214" t="s">
        <v>111</v>
      </c>
      <c r="G214" t="s">
        <v>115</v>
      </c>
      <c r="H214" t="s">
        <v>42</v>
      </c>
      <c r="I214" t="s">
        <v>21</v>
      </c>
      <c r="K214" t="str">
        <v>No discount</v>
      </c>
      <c r="L214" t="str">
        <v>Free Beverages</v>
      </c>
    </row>
    <row r="215" spans="1:12" x14ac:dyDescent="0.25">
      <c r="A215">
        <v>10671</v>
      </c>
      <c r="B215" t="s">
        <v>83</v>
      </c>
      <c r="C215" t="s">
        <v>27</v>
      </c>
      <c r="D215" s="9">
        <v>9.9499999999999993</v>
      </c>
      <c r="E215">
        <v>221.11</v>
      </c>
      <c r="F215" t="s">
        <v>111</v>
      </c>
      <c r="G215" t="s">
        <v>115</v>
      </c>
      <c r="H215" t="s">
        <v>42</v>
      </c>
      <c r="I215" t="s">
        <v>21</v>
      </c>
      <c r="K215" t="str">
        <v>No discount</v>
      </c>
      <c r="L215" t="str">
        <v>Nothing</v>
      </c>
    </row>
    <row r="216" spans="1:12" x14ac:dyDescent="0.25">
      <c r="A216">
        <v>10672</v>
      </c>
      <c r="B216" t="s">
        <v>83</v>
      </c>
      <c r="C216" t="s">
        <v>10</v>
      </c>
      <c r="D216" s="9">
        <v>3.49</v>
      </c>
      <c r="E216">
        <v>630.37</v>
      </c>
      <c r="F216" t="s">
        <v>111</v>
      </c>
      <c r="G216" t="s">
        <v>115</v>
      </c>
      <c r="H216" t="s">
        <v>42</v>
      </c>
      <c r="I216" t="s">
        <v>21</v>
      </c>
      <c r="K216" t="str">
        <v>No discount</v>
      </c>
      <c r="L216" t="str">
        <v>Nothing</v>
      </c>
    </row>
    <row r="217" spans="1:12" x14ac:dyDescent="0.25">
      <c r="A217">
        <v>10673</v>
      </c>
      <c r="B217" t="s">
        <v>83</v>
      </c>
      <c r="C217" t="s">
        <v>15</v>
      </c>
      <c r="D217" s="9">
        <v>2.95</v>
      </c>
      <c r="E217">
        <v>745.76</v>
      </c>
      <c r="F217" t="s">
        <v>111</v>
      </c>
      <c r="G217" t="s">
        <v>115</v>
      </c>
      <c r="H217" t="s">
        <v>42</v>
      </c>
      <c r="I217" t="s">
        <v>21</v>
      </c>
      <c r="K217" t="str">
        <v>No discount</v>
      </c>
      <c r="L217" t="str">
        <v>Nothing</v>
      </c>
    </row>
    <row r="218" spans="1:12" x14ac:dyDescent="0.25">
      <c r="A218">
        <v>10674</v>
      </c>
      <c r="B218" t="s">
        <v>83</v>
      </c>
      <c r="C218" t="s">
        <v>18</v>
      </c>
      <c r="D218" s="9">
        <v>4.99</v>
      </c>
      <c r="E218">
        <v>200.4</v>
      </c>
      <c r="F218" t="s">
        <v>111</v>
      </c>
      <c r="G218" t="s">
        <v>115</v>
      </c>
      <c r="H218" t="s">
        <v>42</v>
      </c>
      <c r="I218" t="s">
        <v>21</v>
      </c>
      <c r="K218" t="str">
        <v>No discount</v>
      </c>
      <c r="L218" t="str">
        <v>Nothing</v>
      </c>
    </row>
    <row r="219" spans="1:12" x14ac:dyDescent="0.25">
      <c r="A219">
        <v>10675</v>
      </c>
      <c r="B219" t="s">
        <v>84</v>
      </c>
      <c r="C219" t="s">
        <v>23</v>
      </c>
      <c r="D219" s="9">
        <v>12.99</v>
      </c>
      <c r="E219">
        <v>677.44</v>
      </c>
      <c r="F219" t="s">
        <v>111</v>
      </c>
      <c r="G219" t="s">
        <v>115</v>
      </c>
      <c r="H219" t="s">
        <v>42</v>
      </c>
      <c r="I219" t="s">
        <v>21</v>
      </c>
      <c r="K219" t="str">
        <v>No discount</v>
      </c>
      <c r="L219" t="str">
        <v>Free Beverages</v>
      </c>
    </row>
    <row r="220" spans="1:12" x14ac:dyDescent="0.25">
      <c r="A220">
        <v>10676</v>
      </c>
      <c r="B220" t="s">
        <v>84</v>
      </c>
      <c r="C220" t="s">
        <v>27</v>
      </c>
      <c r="D220" s="9">
        <v>9.9499999999999993</v>
      </c>
      <c r="E220">
        <v>241.21</v>
      </c>
      <c r="F220" t="s">
        <v>111</v>
      </c>
      <c r="G220" t="s">
        <v>115</v>
      </c>
      <c r="H220" t="s">
        <v>42</v>
      </c>
      <c r="I220" t="s">
        <v>21</v>
      </c>
      <c r="K220" t="str">
        <v>No discount</v>
      </c>
      <c r="L220" t="str">
        <v>Nothing</v>
      </c>
    </row>
    <row r="221" spans="1:12" x14ac:dyDescent="0.25">
      <c r="A221">
        <v>10677</v>
      </c>
      <c r="B221" t="s">
        <v>84</v>
      </c>
      <c r="C221" t="s">
        <v>10</v>
      </c>
      <c r="D221" s="9">
        <v>3.49</v>
      </c>
      <c r="E221">
        <v>630.37</v>
      </c>
      <c r="F221" t="s">
        <v>111</v>
      </c>
      <c r="G221" t="s">
        <v>115</v>
      </c>
      <c r="H221" t="s">
        <v>42</v>
      </c>
      <c r="I221" t="s">
        <v>21</v>
      </c>
      <c r="K221" t="str">
        <v>No discount</v>
      </c>
      <c r="L221" t="str">
        <v>Nothing</v>
      </c>
    </row>
    <row r="222" spans="1:12" x14ac:dyDescent="0.25">
      <c r="A222">
        <v>10678</v>
      </c>
      <c r="B222" t="s">
        <v>84</v>
      </c>
      <c r="C222" t="s">
        <v>15</v>
      </c>
      <c r="D222" s="9">
        <v>2.95</v>
      </c>
      <c r="E222">
        <v>745.76</v>
      </c>
      <c r="F222" t="s">
        <v>111</v>
      </c>
      <c r="G222" t="s">
        <v>115</v>
      </c>
      <c r="H222" t="s">
        <v>42</v>
      </c>
      <c r="I222" t="s">
        <v>21</v>
      </c>
      <c r="K222" t="str">
        <v>No discount</v>
      </c>
      <c r="L222" t="str">
        <v>Nothing</v>
      </c>
    </row>
    <row r="223" spans="1:12" x14ac:dyDescent="0.25">
      <c r="A223">
        <v>10679</v>
      </c>
      <c r="B223" t="s">
        <v>84</v>
      </c>
      <c r="C223" t="s">
        <v>18</v>
      </c>
      <c r="D223" s="9">
        <v>4.99</v>
      </c>
      <c r="E223">
        <v>200.4</v>
      </c>
      <c r="F223" t="s">
        <v>111</v>
      </c>
      <c r="G223" t="s">
        <v>115</v>
      </c>
      <c r="H223" t="s">
        <v>42</v>
      </c>
      <c r="I223" t="s">
        <v>21</v>
      </c>
      <c r="K223" t="str">
        <v>No discount</v>
      </c>
      <c r="L223" t="str">
        <v>Nothing</v>
      </c>
    </row>
    <row r="224" spans="1:12" x14ac:dyDescent="0.25">
      <c r="A224">
        <v>10680</v>
      </c>
      <c r="B224" t="s">
        <v>85</v>
      </c>
      <c r="C224" t="s">
        <v>23</v>
      </c>
      <c r="D224" s="9">
        <v>12.99</v>
      </c>
      <c r="E224">
        <v>646.65</v>
      </c>
      <c r="F224" t="s">
        <v>111</v>
      </c>
      <c r="G224" t="s">
        <v>115</v>
      </c>
      <c r="H224" t="s">
        <v>42</v>
      </c>
      <c r="I224" t="s">
        <v>21</v>
      </c>
      <c r="K224" t="str">
        <v>No discount</v>
      </c>
      <c r="L224" t="str">
        <v>Free Beverages</v>
      </c>
    </row>
    <row r="225" spans="1:12" x14ac:dyDescent="0.25">
      <c r="A225">
        <v>10681</v>
      </c>
      <c r="B225" t="s">
        <v>85</v>
      </c>
      <c r="C225" t="s">
        <v>27</v>
      </c>
      <c r="D225" s="9">
        <v>9.9499999999999993</v>
      </c>
      <c r="E225">
        <v>241.21</v>
      </c>
      <c r="F225" t="s">
        <v>111</v>
      </c>
      <c r="G225" t="s">
        <v>115</v>
      </c>
      <c r="H225" t="s">
        <v>42</v>
      </c>
      <c r="I225" t="s">
        <v>21</v>
      </c>
      <c r="K225" t="str">
        <v>No discount</v>
      </c>
      <c r="L225" t="str">
        <v>Nothing</v>
      </c>
    </row>
    <row r="226" spans="1:12" x14ac:dyDescent="0.25">
      <c r="A226">
        <v>10682</v>
      </c>
      <c r="B226" t="s">
        <v>85</v>
      </c>
      <c r="C226" t="s">
        <v>10</v>
      </c>
      <c r="D226" s="9">
        <v>3.49</v>
      </c>
      <c r="E226">
        <v>630.37</v>
      </c>
      <c r="F226" t="s">
        <v>111</v>
      </c>
      <c r="G226" t="s">
        <v>115</v>
      </c>
      <c r="H226" t="s">
        <v>42</v>
      </c>
      <c r="I226" t="s">
        <v>21</v>
      </c>
      <c r="K226" t="str">
        <v>No discount</v>
      </c>
      <c r="L226" t="str">
        <v>Nothing</v>
      </c>
    </row>
    <row r="227" spans="1:12" x14ac:dyDescent="0.25">
      <c r="A227">
        <v>10683</v>
      </c>
      <c r="B227" t="s">
        <v>85</v>
      </c>
      <c r="C227" t="s">
        <v>15</v>
      </c>
      <c r="D227" s="9">
        <v>2.95</v>
      </c>
      <c r="E227">
        <v>677.97</v>
      </c>
      <c r="F227" t="s">
        <v>111</v>
      </c>
      <c r="G227" t="s">
        <v>115</v>
      </c>
      <c r="H227" t="s">
        <v>42</v>
      </c>
      <c r="I227" t="s">
        <v>21</v>
      </c>
      <c r="K227" t="str">
        <v>No discount</v>
      </c>
      <c r="L227" t="str">
        <v>Nothing</v>
      </c>
    </row>
    <row r="228" spans="1:12" x14ac:dyDescent="0.25">
      <c r="A228">
        <v>10684</v>
      </c>
      <c r="B228" t="s">
        <v>85</v>
      </c>
      <c r="C228" t="s">
        <v>18</v>
      </c>
      <c r="D228" s="9">
        <v>4.99</v>
      </c>
      <c r="E228">
        <v>200.4</v>
      </c>
      <c r="F228" t="s">
        <v>111</v>
      </c>
      <c r="G228" t="s">
        <v>115</v>
      </c>
      <c r="H228" t="s">
        <v>42</v>
      </c>
      <c r="I228" t="s">
        <v>21</v>
      </c>
      <c r="K228" t="str">
        <v>No discount</v>
      </c>
      <c r="L228" t="str">
        <v>Nothing</v>
      </c>
    </row>
    <row r="229" spans="1:12" x14ac:dyDescent="0.25">
      <c r="A229">
        <v>10685</v>
      </c>
      <c r="B229" t="s">
        <v>86</v>
      </c>
      <c r="C229" t="s">
        <v>23</v>
      </c>
      <c r="D229" s="9">
        <v>12.99</v>
      </c>
      <c r="E229">
        <v>677.44</v>
      </c>
      <c r="F229" t="s">
        <v>111</v>
      </c>
      <c r="G229" t="s">
        <v>115</v>
      </c>
      <c r="H229" t="s">
        <v>42</v>
      </c>
      <c r="I229" t="s">
        <v>21</v>
      </c>
      <c r="K229" t="str">
        <v>No discount</v>
      </c>
      <c r="L229" t="str">
        <v>Free Beverages</v>
      </c>
    </row>
    <row r="230" spans="1:12" x14ac:dyDescent="0.25">
      <c r="A230">
        <v>10686</v>
      </c>
      <c r="B230" t="s">
        <v>86</v>
      </c>
      <c r="C230" t="s">
        <v>27</v>
      </c>
      <c r="D230" s="9">
        <v>9.9499999999999993</v>
      </c>
      <c r="E230">
        <v>241.21</v>
      </c>
      <c r="F230" t="s">
        <v>111</v>
      </c>
      <c r="G230" t="s">
        <v>115</v>
      </c>
      <c r="H230" t="s">
        <v>42</v>
      </c>
      <c r="I230" t="s">
        <v>21</v>
      </c>
      <c r="K230" t="str">
        <v>No discount</v>
      </c>
      <c r="L230" t="str">
        <v>Nothing</v>
      </c>
    </row>
    <row r="231" spans="1:12" x14ac:dyDescent="0.25">
      <c r="A231">
        <v>10687</v>
      </c>
      <c r="B231" t="s">
        <v>86</v>
      </c>
      <c r="C231" t="s">
        <v>10</v>
      </c>
      <c r="D231" s="9">
        <v>3.49</v>
      </c>
      <c r="E231">
        <v>630.37</v>
      </c>
      <c r="F231" t="s">
        <v>111</v>
      </c>
      <c r="G231" t="s">
        <v>115</v>
      </c>
      <c r="H231" t="s">
        <v>25</v>
      </c>
      <c r="I231" t="s">
        <v>26</v>
      </c>
      <c r="K231" t="str">
        <v>No discount</v>
      </c>
      <c r="L231" t="str">
        <v>Nothing</v>
      </c>
    </row>
    <row r="232" spans="1:12" x14ac:dyDescent="0.25">
      <c r="A232">
        <v>10688</v>
      </c>
      <c r="B232" t="s">
        <v>86</v>
      </c>
      <c r="C232" t="s">
        <v>15</v>
      </c>
      <c r="D232" s="9">
        <v>2.95</v>
      </c>
      <c r="E232">
        <v>677.97</v>
      </c>
      <c r="F232" t="s">
        <v>111</v>
      </c>
      <c r="G232" t="s">
        <v>115</v>
      </c>
      <c r="H232" t="s">
        <v>25</v>
      </c>
      <c r="I232" t="s">
        <v>26</v>
      </c>
      <c r="K232" t="str">
        <v>No discount</v>
      </c>
      <c r="L232" t="str">
        <v>Nothing</v>
      </c>
    </row>
    <row r="233" spans="1:12" x14ac:dyDescent="0.25">
      <c r="A233">
        <v>10689</v>
      </c>
      <c r="B233" t="s">
        <v>86</v>
      </c>
      <c r="C233" t="s">
        <v>18</v>
      </c>
      <c r="D233" s="9">
        <v>4.99</v>
      </c>
      <c r="E233">
        <v>200.4</v>
      </c>
      <c r="F233" t="s">
        <v>111</v>
      </c>
      <c r="G233" t="s">
        <v>115</v>
      </c>
      <c r="H233" t="s">
        <v>25</v>
      </c>
      <c r="I233" t="s">
        <v>26</v>
      </c>
      <c r="K233" t="str">
        <v>No discount</v>
      </c>
      <c r="L233" t="str">
        <v>Nothing</v>
      </c>
    </row>
    <row r="234" spans="1:12" x14ac:dyDescent="0.25">
      <c r="A234">
        <v>10690</v>
      </c>
      <c r="B234" t="s">
        <v>87</v>
      </c>
      <c r="C234" t="s">
        <v>23</v>
      </c>
      <c r="D234" s="9">
        <v>12.99</v>
      </c>
      <c r="E234">
        <v>677.44</v>
      </c>
      <c r="F234" t="s">
        <v>111</v>
      </c>
      <c r="G234" t="s">
        <v>115</v>
      </c>
      <c r="H234" t="s">
        <v>25</v>
      </c>
      <c r="I234" t="s">
        <v>26</v>
      </c>
      <c r="K234" t="str">
        <v>No discount</v>
      </c>
      <c r="L234" t="str">
        <v>Free Beverages</v>
      </c>
    </row>
    <row r="235" spans="1:12" x14ac:dyDescent="0.25">
      <c r="A235">
        <v>10691</v>
      </c>
      <c r="B235" t="s">
        <v>87</v>
      </c>
      <c r="C235" t="s">
        <v>27</v>
      </c>
      <c r="D235" s="9">
        <v>9.9499999999999993</v>
      </c>
      <c r="E235">
        <v>261.31</v>
      </c>
      <c r="F235" t="s">
        <v>111</v>
      </c>
      <c r="G235" t="s">
        <v>115</v>
      </c>
      <c r="H235" t="s">
        <v>25</v>
      </c>
      <c r="I235" t="s">
        <v>26</v>
      </c>
      <c r="K235" t="str">
        <v>No discount</v>
      </c>
      <c r="L235" t="str">
        <v>Nothing</v>
      </c>
    </row>
    <row r="236" spans="1:12" x14ac:dyDescent="0.25">
      <c r="A236">
        <v>10692</v>
      </c>
      <c r="B236" t="s">
        <v>87</v>
      </c>
      <c r="C236" t="s">
        <v>10</v>
      </c>
      <c r="D236" s="9">
        <v>3.49</v>
      </c>
      <c r="E236">
        <v>630.37</v>
      </c>
      <c r="F236" t="s">
        <v>111</v>
      </c>
      <c r="G236" t="s">
        <v>115</v>
      </c>
      <c r="H236" t="s">
        <v>25</v>
      </c>
      <c r="I236" t="s">
        <v>26</v>
      </c>
      <c r="K236" t="str">
        <v>No discount</v>
      </c>
      <c r="L236" t="str">
        <v>Nothing</v>
      </c>
    </row>
    <row r="237" spans="1:12" x14ac:dyDescent="0.25">
      <c r="A237">
        <v>10693</v>
      </c>
      <c r="B237" t="s">
        <v>87</v>
      </c>
      <c r="C237" t="s">
        <v>15</v>
      </c>
      <c r="D237" s="9">
        <v>2.95</v>
      </c>
      <c r="E237">
        <v>677.97</v>
      </c>
      <c r="F237" t="s">
        <v>111</v>
      </c>
      <c r="G237" t="s">
        <v>115</v>
      </c>
      <c r="H237" t="s">
        <v>25</v>
      </c>
      <c r="I237" t="s">
        <v>26</v>
      </c>
      <c r="K237" t="str">
        <v>No discount</v>
      </c>
      <c r="L237" t="str">
        <v>Nothing</v>
      </c>
    </row>
    <row r="238" spans="1:12" x14ac:dyDescent="0.25">
      <c r="A238">
        <v>10694</v>
      </c>
      <c r="B238" t="s">
        <v>87</v>
      </c>
      <c r="C238" t="s">
        <v>18</v>
      </c>
      <c r="D238" s="9">
        <v>4.99</v>
      </c>
      <c r="E238">
        <v>200.4</v>
      </c>
      <c r="F238" t="s">
        <v>111</v>
      </c>
      <c r="G238" t="s">
        <v>115</v>
      </c>
      <c r="H238" t="s">
        <v>25</v>
      </c>
      <c r="I238" t="s">
        <v>26</v>
      </c>
      <c r="K238" t="str">
        <v>No discount</v>
      </c>
      <c r="L238" t="str">
        <v>Nothing</v>
      </c>
    </row>
    <row r="239" spans="1:12" x14ac:dyDescent="0.25">
      <c r="A239">
        <v>10695</v>
      </c>
      <c r="B239" t="s">
        <v>88</v>
      </c>
      <c r="C239" t="s">
        <v>23</v>
      </c>
      <c r="D239" s="9">
        <v>12.99</v>
      </c>
      <c r="E239">
        <v>692.84</v>
      </c>
      <c r="F239" t="s">
        <v>111</v>
      </c>
      <c r="G239" t="s">
        <v>115</v>
      </c>
      <c r="H239" t="s">
        <v>25</v>
      </c>
      <c r="I239" t="s">
        <v>26</v>
      </c>
      <c r="K239" t="str">
        <v>No discount</v>
      </c>
      <c r="L239" t="str">
        <v>Free Beverages</v>
      </c>
    </row>
    <row r="240" spans="1:12" x14ac:dyDescent="0.25">
      <c r="A240">
        <v>10696</v>
      </c>
      <c r="B240" t="s">
        <v>88</v>
      </c>
      <c r="C240" t="s">
        <v>27</v>
      </c>
      <c r="D240" s="9">
        <v>9.9499999999999993</v>
      </c>
      <c r="E240">
        <v>281.41000000000003</v>
      </c>
      <c r="F240" t="s">
        <v>111</v>
      </c>
      <c r="G240" t="s">
        <v>115</v>
      </c>
      <c r="H240" t="s">
        <v>25</v>
      </c>
      <c r="I240" t="s">
        <v>26</v>
      </c>
      <c r="K240" t="str">
        <v>No discount</v>
      </c>
      <c r="L240" t="str">
        <v>Nothing</v>
      </c>
    </row>
    <row r="241" spans="1:12" x14ac:dyDescent="0.25">
      <c r="A241">
        <v>10697</v>
      </c>
      <c r="B241" t="s">
        <v>88</v>
      </c>
      <c r="C241" t="s">
        <v>10</v>
      </c>
      <c r="D241" s="9">
        <v>3.49</v>
      </c>
      <c r="E241">
        <v>630.37</v>
      </c>
      <c r="F241" t="s">
        <v>111</v>
      </c>
      <c r="G241" t="s">
        <v>115</v>
      </c>
      <c r="H241" t="s">
        <v>25</v>
      </c>
      <c r="I241" t="s">
        <v>26</v>
      </c>
      <c r="K241" t="str">
        <v>No discount</v>
      </c>
      <c r="L241" t="str">
        <v>Nothing</v>
      </c>
    </row>
    <row r="242" spans="1:12" x14ac:dyDescent="0.25">
      <c r="A242">
        <v>10698</v>
      </c>
      <c r="B242" t="s">
        <v>88</v>
      </c>
      <c r="C242" t="s">
        <v>15</v>
      </c>
      <c r="D242" s="9">
        <v>2.95</v>
      </c>
      <c r="E242">
        <v>677.97</v>
      </c>
      <c r="F242" t="s">
        <v>111</v>
      </c>
      <c r="G242" t="s">
        <v>115</v>
      </c>
      <c r="H242" t="s">
        <v>25</v>
      </c>
      <c r="I242" t="s">
        <v>26</v>
      </c>
      <c r="K242" t="str">
        <v>No discount</v>
      </c>
      <c r="L242" t="str">
        <v>Nothing</v>
      </c>
    </row>
    <row r="243" spans="1:12" x14ac:dyDescent="0.25">
      <c r="A243">
        <v>10699</v>
      </c>
      <c r="B243" t="s">
        <v>88</v>
      </c>
      <c r="C243" t="s">
        <v>18</v>
      </c>
      <c r="D243" s="9">
        <v>4.99</v>
      </c>
      <c r="E243">
        <v>200.4</v>
      </c>
      <c r="F243" t="s">
        <v>111</v>
      </c>
      <c r="G243" t="s">
        <v>115</v>
      </c>
      <c r="H243" t="s">
        <v>25</v>
      </c>
      <c r="I243" t="s">
        <v>26</v>
      </c>
      <c r="K243" t="str">
        <v>No discount</v>
      </c>
      <c r="L243" t="str">
        <v>Nothing</v>
      </c>
    </row>
    <row r="244" spans="1:12" x14ac:dyDescent="0.25">
      <c r="A244">
        <v>10700</v>
      </c>
      <c r="B244" t="s">
        <v>89</v>
      </c>
      <c r="C244" t="s">
        <v>23</v>
      </c>
      <c r="D244" s="9">
        <v>12.99</v>
      </c>
      <c r="E244">
        <v>692.84</v>
      </c>
      <c r="F244" t="s">
        <v>111</v>
      </c>
      <c r="G244" t="s">
        <v>115</v>
      </c>
      <c r="H244" t="s">
        <v>25</v>
      </c>
      <c r="I244" t="s">
        <v>26</v>
      </c>
      <c r="K244" t="str">
        <v>No discount</v>
      </c>
      <c r="L244" t="str">
        <v>Free Beverages</v>
      </c>
    </row>
    <row r="245" spans="1:12" x14ac:dyDescent="0.25">
      <c r="A245">
        <v>10701</v>
      </c>
      <c r="B245" t="s">
        <v>89</v>
      </c>
      <c r="C245" t="s">
        <v>27</v>
      </c>
      <c r="D245" s="9">
        <v>9.9499999999999993</v>
      </c>
      <c r="E245">
        <v>281.41000000000003</v>
      </c>
      <c r="F245" t="s">
        <v>111</v>
      </c>
      <c r="G245" t="s">
        <v>115</v>
      </c>
      <c r="H245" t="s">
        <v>25</v>
      </c>
      <c r="I245" t="s">
        <v>26</v>
      </c>
      <c r="K245" t="str">
        <v>No discount</v>
      </c>
      <c r="L245" t="str">
        <v>Nothing</v>
      </c>
    </row>
    <row r="246" spans="1:12" x14ac:dyDescent="0.25">
      <c r="A246">
        <v>10702</v>
      </c>
      <c r="B246" t="s">
        <v>89</v>
      </c>
      <c r="C246" t="s">
        <v>10</v>
      </c>
      <c r="D246" s="9">
        <v>3.49</v>
      </c>
      <c r="E246">
        <v>630.37</v>
      </c>
      <c r="F246" t="s">
        <v>111</v>
      </c>
      <c r="G246" t="s">
        <v>115</v>
      </c>
      <c r="H246" t="s">
        <v>25</v>
      </c>
      <c r="I246" t="s">
        <v>26</v>
      </c>
      <c r="K246" t="str">
        <v>No discount</v>
      </c>
      <c r="L246" t="str">
        <v>Nothing</v>
      </c>
    </row>
    <row r="247" spans="1:12" x14ac:dyDescent="0.25">
      <c r="A247">
        <v>10703</v>
      </c>
      <c r="B247" t="s">
        <v>89</v>
      </c>
      <c r="C247" t="s">
        <v>15</v>
      </c>
      <c r="D247" s="9">
        <v>2.95</v>
      </c>
      <c r="E247">
        <v>677.97</v>
      </c>
      <c r="F247" t="s">
        <v>111</v>
      </c>
      <c r="G247" t="s">
        <v>114</v>
      </c>
      <c r="H247" t="s">
        <v>25</v>
      </c>
      <c r="I247" t="s">
        <v>26</v>
      </c>
      <c r="K247" t="str">
        <v>No discount</v>
      </c>
      <c r="L247" t="str">
        <v>Nothing</v>
      </c>
    </row>
    <row r="248" spans="1:12" x14ac:dyDescent="0.25">
      <c r="A248">
        <v>10704</v>
      </c>
      <c r="B248" t="s">
        <v>89</v>
      </c>
      <c r="C248" t="s">
        <v>18</v>
      </c>
      <c r="D248" s="9">
        <v>4.99</v>
      </c>
      <c r="E248">
        <v>200.4</v>
      </c>
      <c r="F248" t="s">
        <v>112</v>
      </c>
      <c r="G248" t="s">
        <v>114</v>
      </c>
      <c r="H248" t="s">
        <v>25</v>
      </c>
      <c r="I248" t="s">
        <v>26</v>
      </c>
      <c r="K248" t="str">
        <v>No discount</v>
      </c>
      <c r="L248" t="str">
        <v>Nothing</v>
      </c>
    </row>
    <row r="249" spans="1:12" x14ac:dyDescent="0.25">
      <c r="A249">
        <v>10705</v>
      </c>
      <c r="B249" t="s">
        <v>90</v>
      </c>
      <c r="C249" t="s">
        <v>23</v>
      </c>
      <c r="D249" s="9">
        <v>12.99</v>
      </c>
      <c r="E249">
        <v>723.63</v>
      </c>
      <c r="F249" t="s">
        <v>112</v>
      </c>
      <c r="G249" t="s">
        <v>114</v>
      </c>
      <c r="H249" t="s">
        <v>25</v>
      </c>
      <c r="I249" t="s">
        <v>26</v>
      </c>
      <c r="K249" t="str">
        <v>No discount</v>
      </c>
      <c r="L249" t="str">
        <v>Free Beverages</v>
      </c>
    </row>
    <row r="250" spans="1:12" x14ac:dyDescent="0.25">
      <c r="A250">
        <v>10706</v>
      </c>
      <c r="B250" t="s">
        <v>90</v>
      </c>
      <c r="C250" t="s">
        <v>27</v>
      </c>
      <c r="D250" s="9">
        <v>9.9499999999999993</v>
      </c>
      <c r="E250">
        <v>301.51</v>
      </c>
      <c r="F250" t="s">
        <v>112</v>
      </c>
      <c r="G250" t="s">
        <v>114</v>
      </c>
      <c r="H250" t="s">
        <v>25</v>
      </c>
      <c r="I250" t="s">
        <v>26</v>
      </c>
      <c r="K250" t="str">
        <v>No discount</v>
      </c>
      <c r="L250" t="str">
        <v>Nothing</v>
      </c>
    </row>
    <row r="251" spans="1:12" x14ac:dyDescent="0.25">
      <c r="A251">
        <v>10707</v>
      </c>
      <c r="B251" t="s">
        <v>90</v>
      </c>
      <c r="C251" t="s">
        <v>10</v>
      </c>
      <c r="D251" s="9">
        <v>3.49</v>
      </c>
      <c r="E251">
        <v>630.37</v>
      </c>
      <c r="F251" t="s">
        <v>112</v>
      </c>
      <c r="G251" t="s">
        <v>114</v>
      </c>
      <c r="H251" t="s">
        <v>25</v>
      </c>
      <c r="I251" t="s">
        <v>26</v>
      </c>
      <c r="K251" t="str">
        <v>No discount</v>
      </c>
      <c r="L251" t="str">
        <v>Nothing</v>
      </c>
    </row>
    <row r="252" spans="1:12" x14ac:dyDescent="0.25">
      <c r="A252">
        <v>10708</v>
      </c>
      <c r="B252" t="s">
        <v>90</v>
      </c>
      <c r="C252" t="s">
        <v>15</v>
      </c>
      <c r="D252" s="9">
        <v>2.95</v>
      </c>
      <c r="E252">
        <v>677.97</v>
      </c>
      <c r="F252" t="s">
        <v>112</v>
      </c>
      <c r="G252" t="s">
        <v>114</v>
      </c>
      <c r="H252" t="s">
        <v>25</v>
      </c>
      <c r="I252" t="s">
        <v>26</v>
      </c>
      <c r="K252" t="str">
        <v>No discount</v>
      </c>
      <c r="L252" t="str">
        <v>Nothing</v>
      </c>
    </row>
    <row r="253" spans="1:12" x14ac:dyDescent="0.25">
      <c r="A253">
        <v>10709</v>
      </c>
      <c r="B253" t="s">
        <v>90</v>
      </c>
      <c r="C253" t="s">
        <v>18</v>
      </c>
      <c r="D253" s="9">
        <v>4.99</v>
      </c>
      <c r="E253">
        <v>200.4</v>
      </c>
      <c r="F253" t="s">
        <v>112</v>
      </c>
      <c r="G253" t="s">
        <v>114</v>
      </c>
      <c r="H253" t="s">
        <v>25</v>
      </c>
      <c r="I253" t="s">
        <v>26</v>
      </c>
      <c r="K253" t="str">
        <v>No discount</v>
      </c>
      <c r="L253" t="str">
        <v>Nothing</v>
      </c>
    </row>
    <row r="254" spans="1:12" x14ac:dyDescent="0.25">
      <c r="A254">
        <v>10710</v>
      </c>
      <c r="B254" t="s">
        <v>91</v>
      </c>
      <c r="C254" t="s">
        <v>23</v>
      </c>
      <c r="D254" s="9">
        <v>12.99</v>
      </c>
      <c r="E254">
        <v>754.43</v>
      </c>
      <c r="F254" t="s">
        <v>112</v>
      </c>
      <c r="G254" t="s">
        <v>114</v>
      </c>
      <c r="H254" t="s">
        <v>25</v>
      </c>
      <c r="I254" t="s">
        <v>26</v>
      </c>
      <c r="K254" t="str">
        <v>No discount</v>
      </c>
      <c r="L254" t="str">
        <v>Free Beverages</v>
      </c>
    </row>
    <row r="255" spans="1:12" x14ac:dyDescent="0.25">
      <c r="A255">
        <v>10711</v>
      </c>
      <c r="B255" t="s">
        <v>91</v>
      </c>
      <c r="C255" t="s">
        <v>27</v>
      </c>
      <c r="D255" s="9">
        <v>9.9499999999999993</v>
      </c>
      <c r="E255">
        <v>281.41000000000003</v>
      </c>
      <c r="F255" t="s">
        <v>112</v>
      </c>
      <c r="G255" t="s">
        <v>114</v>
      </c>
      <c r="H255" t="s">
        <v>25</v>
      </c>
      <c r="I255" t="s">
        <v>26</v>
      </c>
      <c r="K255" t="str">
        <v>No discount</v>
      </c>
      <c r="L255" t="str">
        <v>Nothing</v>
      </c>
    </row>
    <row r="256" spans="1:12" x14ac:dyDescent="0.25">
      <c r="A256">
        <v>10712</v>
      </c>
      <c r="B256" t="s">
        <v>91</v>
      </c>
      <c r="C256" t="s">
        <v>10</v>
      </c>
      <c r="D256" s="9">
        <v>3.49</v>
      </c>
      <c r="E256">
        <v>630.37</v>
      </c>
      <c r="F256" t="s">
        <v>112</v>
      </c>
      <c r="G256" t="s">
        <v>114</v>
      </c>
      <c r="H256" t="s">
        <v>25</v>
      </c>
      <c r="I256" t="s">
        <v>26</v>
      </c>
      <c r="K256" t="str">
        <v>No discount</v>
      </c>
      <c r="L256" t="str">
        <v>Nothing</v>
      </c>
    </row>
    <row r="257" spans="1:12" x14ac:dyDescent="0.25">
      <c r="A257">
        <v>10713</v>
      </c>
      <c r="B257" t="s">
        <v>91</v>
      </c>
      <c r="C257" t="s">
        <v>15</v>
      </c>
      <c r="D257" s="9">
        <v>2.95</v>
      </c>
      <c r="E257">
        <v>677.97</v>
      </c>
      <c r="F257" t="s">
        <v>112</v>
      </c>
      <c r="G257" t="s">
        <v>114</v>
      </c>
      <c r="H257" t="s">
        <v>25</v>
      </c>
      <c r="I257" t="s">
        <v>26</v>
      </c>
      <c r="K257" t="str">
        <v>No discount</v>
      </c>
      <c r="L257" t="str">
        <v>Nothing</v>
      </c>
    </row>
    <row r="258" spans="1:12" x14ac:dyDescent="0.25">
      <c r="F258" t="s">
        <v>142</v>
      </c>
      <c r="G258" t="s">
        <v>142</v>
      </c>
      <c r="K258" t="str">
        <v>No discount</v>
      </c>
    </row>
  </sheetData>
  <mergeCells count="8">
    <mergeCell ref="W29:Y29"/>
    <mergeCell ref="K1:AD1"/>
    <mergeCell ref="R3:U3"/>
    <mergeCell ref="N19:P19"/>
    <mergeCell ref="N11:O11"/>
    <mergeCell ref="N14:O14"/>
    <mergeCell ref="Q13:V13"/>
    <mergeCell ref="N18:Q18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FA88-235D-4C69-AEE5-245E9490E5A9}">
  <dimension ref="A1:AB258"/>
  <sheetViews>
    <sheetView topLeftCell="P1" workbookViewId="0">
      <selection activeCell="U22" sqref="U22:V22"/>
    </sheetView>
  </sheetViews>
  <sheetFormatPr defaultRowHeight="15" x14ac:dyDescent="0.25"/>
  <cols>
    <col min="3" max="3" width="17" customWidth="1"/>
    <col min="7" max="7" width="11.28515625" customWidth="1"/>
    <col min="15" max="15" width="13.7109375" bestFit="1" customWidth="1"/>
    <col min="16" max="16" width="17.7109375" bestFit="1" customWidth="1"/>
    <col min="17" max="18" width="12.28515625" customWidth="1"/>
    <col min="22" max="22" width="13.140625" customWidth="1"/>
  </cols>
  <sheetData>
    <row r="1" spans="1:28" ht="29.25" thickBot="1" x14ac:dyDescent="0.5">
      <c r="E1" s="46" t="s">
        <v>158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3" spans="1:28" ht="15.75" x14ac:dyDescent="0.25">
      <c r="K3" s="47" t="s">
        <v>159</v>
      </c>
      <c r="L3" s="47"/>
      <c r="M3" s="47"/>
      <c r="N3" s="47"/>
      <c r="P3" s="47" t="s">
        <v>176</v>
      </c>
      <c r="Q3" s="47"/>
      <c r="R3" s="47"/>
      <c r="T3" s="33"/>
      <c r="U3" s="33"/>
      <c r="V3" s="33"/>
      <c r="W3" s="33"/>
    </row>
    <row r="4" spans="1:28" ht="15.7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L4" s="7" t="s">
        <v>160</v>
      </c>
      <c r="M4" s="7" t="s">
        <v>161</v>
      </c>
      <c r="P4" s="7" t="s">
        <v>163</v>
      </c>
      <c r="Q4" s="7" t="s">
        <v>162</v>
      </c>
      <c r="R4" s="7" t="s">
        <v>164</v>
      </c>
      <c r="T4" s="27"/>
      <c r="U4" s="32"/>
      <c r="V4" s="32"/>
      <c r="W4" s="32"/>
    </row>
    <row r="5" spans="1:28" x14ac:dyDescent="0.25">
      <c r="A5">
        <v>10452</v>
      </c>
      <c r="B5" t="s">
        <v>9</v>
      </c>
      <c r="C5" t="s">
        <v>10</v>
      </c>
      <c r="D5">
        <v>3.49</v>
      </c>
      <c r="E5">
        <v>573.07000000000005</v>
      </c>
      <c r="F5" t="s">
        <v>11</v>
      </c>
      <c r="G5" t="s">
        <v>12</v>
      </c>
      <c r="H5" t="s">
        <v>13</v>
      </c>
      <c r="I5" t="s">
        <v>14</v>
      </c>
      <c r="K5">
        <v>573.07000000000005</v>
      </c>
      <c r="L5" cm="1">
        <f t="array" ref="L5:L33">_xlfn._xlws.SORT(K5:K33, 1, -1)</f>
        <v>754.43</v>
      </c>
      <c r="M5" t="str" cm="1">
        <f t="array" ref="M5:M9">_xlfn.UNIQUE(I5:I258,FALSE,FALSE)</f>
        <v>London</v>
      </c>
      <c r="P5" t="b">
        <f>_xlfn.ISFORMULA(M5)</f>
        <v>1</v>
      </c>
      <c r="Q5" t="b">
        <f>ISBLANK(#REF!)</f>
        <v>0</v>
      </c>
      <c r="R5" t="b">
        <f>ISTEXT(M5)</f>
        <v>1</v>
      </c>
      <c r="T5" s="32"/>
      <c r="U5" s="32"/>
      <c r="V5" s="32"/>
      <c r="W5" s="32"/>
    </row>
    <row r="6" spans="1:28" ht="15.75" x14ac:dyDescent="0.25">
      <c r="A6">
        <v>10453</v>
      </c>
      <c r="B6" t="s">
        <v>9</v>
      </c>
      <c r="C6" t="s">
        <v>15</v>
      </c>
      <c r="D6">
        <v>2.95</v>
      </c>
      <c r="E6">
        <v>745.76</v>
      </c>
      <c r="F6" t="s">
        <v>11</v>
      </c>
      <c r="G6" t="s">
        <v>12</v>
      </c>
      <c r="H6" t="s">
        <v>16</v>
      </c>
      <c r="I6" t="s">
        <v>17</v>
      </c>
      <c r="K6">
        <v>745.76</v>
      </c>
      <c r="L6">
        <v>745.76</v>
      </c>
      <c r="M6" t="str">
        <v>Madrid</v>
      </c>
      <c r="P6" t="b">
        <f t="shared" ref="P6:P12" si="0">_xlfn.ISFORMULA(M6)</f>
        <v>0</v>
      </c>
      <c r="Q6" t="b">
        <f>ISBLANK(#REF!)</f>
        <v>0</v>
      </c>
      <c r="R6" t="b">
        <f t="shared" ref="R6:R12" si="1">ISTEXT(M6)</f>
        <v>1</v>
      </c>
      <c r="T6" s="27"/>
      <c r="U6" s="32"/>
      <c r="V6" s="32"/>
      <c r="W6" s="32"/>
    </row>
    <row r="7" spans="1:28" x14ac:dyDescent="0.25">
      <c r="A7">
        <v>10454</v>
      </c>
      <c r="B7" t="s">
        <v>9</v>
      </c>
      <c r="C7" t="s">
        <v>18</v>
      </c>
      <c r="D7">
        <v>4.99</v>
      </c>
      <c r="E7">
        <v>200.4</v>
      </c>
      <c r="F7" t="s">
        <v>19</v>
      </c>
      <c r="G7" t="s">
        <v>12</v>
      </c>
      <c r="H7" t="s">
        <v>20</v>
      </c>
      <c r="I7" t="s">
        <v>21</v>
      </c>
      <c r="K7">
        <v>200.4</v>
      </c>
      <c r="L7">
        <v>723.63</v>
      </c>
      <c r="M7" t="str">
        <v>Lisbon</v>
      </c>
      <c r="P7" t="b">
        <f t="shared" si="0"/>
        <v>0</v>
      </c>
      <c r="Q7" t="b">
        <f>ISBLANK(#REF!)</f>
        <v>0</v>
      </c>
      <c r="R7" t="b">
        <f t="shared" si="1"/>
        <v>1</v>
      </c>
      <c r="T7" s="32"/>
      <c r="U7" s="32"/>
      <c r="V7" s="32"/>
      <c r="W7" s="32"/>
    </row>
    <row r="8" spans="1:28" ht="15.75" x14ac:dyDescent="0.25">
      <c r="A8">
        <v>10455</v>
      </c>
      <c r="B8" t="s">
        <v>22</v>
      </c>
      <c r="C8" t="s">
        <v>23</v>
      </c>
      <c r="D8">
        <v>12.99</v>
      </c>
      <c r="E8">
        <v>569.66999999999996</v>
      </c>
      <c r="F8" t="s">
        <v>19</v>
      </c>
      <c r="G8" t="s">
        <v>24</v>
      </c>
      <c r="H8" t="s">
        <v>25</v>
      </c>
      <c r="I8" t="s">
        <v>26</v>
      </c>
      <c r="K8">
        <v>569.66999999999996</v>
      </c>
      <c r="L8">
        <v>692.84</v>
      </c>
      <c r="M8" t="str">
        <v>Berlin</v>
      </c>
      <c r="P8" t="b">
        <f t="shared" si="0"/>
        <v>0</v>
      </c>
      <c r="Q8" t="b">
        <f>ISBLANK(#REF!)</f>
        <v>0</v>
      </c>
      <c r="R8" t="b">
        <f t="shared" si="1"/>
        <v>1</v>
      </c>
      <c r="T8" s="27"/>
      <c r="U8" s="32"/>
      <c r="V8" s="32"/>
      <c r="W8" s="32"/>
    </row>
    <row r="9" spans="1:28" x14ac:dyDescent="0.25">
      <c r="A9">
        <v>10456</v>
      </c>
      <c r="B9" t="s">
        <v>22</v>
      </c>
      <c r="C9" t="s">
        <v>27</v>
      </c>
      <c r="D9">
        <v>9.9499999999999993</v>
      </c>
      <c r="E9">
        <v>201.01</v>
      </c>
      <c r="F9" t="s">
        <v>19</v>
      </c>
      <c r="G9" t="s">
        <v>24</v>
      </c>
      <c r="H9" t="s">
        <v>25</v>
      </c>
      <c r="I9" t="s">
        <v>26</v>
      </c>
      <c r="K9">
        <v>201.01</v>
      </c>
      <c r="L9">
        <v>687.68</v>
      </c>
      <c r="M9" t="str">
        <v>Paris</v>
      </c>
      <c r="P9" t="b">
        <f t="shared" si="0"/>
        <v>0</v>
      </c>
      <c r="Q9" t="b">
        <f>ISBLANK(#REF!)</f>
        <v>0</v>
      </c>
      <c r="R9" t="b">
        <f t="shared" si="1"/>
        <v>1</v>
      </c>
      <c r="T9" s="32"/>
      <c r="U9" s="32"/>
      <c r="V9" s="32"/>
      <c r="W9" s="32"/>
    </row>
    <row r="10" spans="1:28" ht="15.75" x14ac:dyDescent="0.25">
      <c r="A10">
        <v>10457</v>
      </c>
      <c r="B10" t="s">
        <v>22</v>
      </c>
      <c r="C10" t="s">
        <v>10</v>
      </c>
      <c r="D10">
        <v>3.49</v>
      </c>
      <c r="E10">
        <v>573.07000000000005</v>
      </c>
      <c r="F10" t="s">
        <v>19</v>
      </c>
      <c r="G10" t="s">
        <v>24</v>
      </c>
      <c r="H10" t="s">
        <v>28</v>
      </c>
      <c r="I10" t="s">
        <v>29</v>
      </c>
      <c r="K10">
        <v>554.27</v>
      </c>
      <c r="L10">
        <v>677.97</v>
      </c>
      <c r="P10" t="b">
        <f t="shared" si="0"/>
        <v>0</v>
      </c>
      <c r="Q10" t="b">
        <f>ISBLANK(#REF!)</f>
        <v>0</v>
      </c>
      <c r="R10" t="b">
        <f t="shared" si="1"/>
        <v>0</v>
      </c>
      <c r="T10" s="27"/>
      <c r="U10" s="32"/>
      <c r="V10" s="32"/>
      <c r="W10" s="32"/>
    </row>
    <row r="11" spans="1:28" x14ac:dyDescent="0.25">
      <c r="A11">
        <v>10459</v>
      </c>
      <c r="B11" t="s">
        <v>22</v>
      </c>
      <c r="C11" t="s">
        <v>18</v>
      </c>
      <c r="D11">
        <v>4.99</v>
      </c>
      <c r="E11">
        <v>200.4</v>
      </c>
      <c r="F11" t="s">
        <v>19</v>
      </c>
      <c r="G11" t="s">
        <v>24</v>
      </c>
      <c r="H11" t="s">
        <v>25</v>
      </c>
      <c r="I11" t="s">
        <v>26</v>
      </c>
      <c r="K11">
        <v>677.97</v>
      </c>
      <c r="L11">
        <v>677.44</v>
      </c>
      <c r="P11" t="b">
        <f t="shared" si="0"/>
        <v>0</v>
      </c>
      <c r="Q11" t="b">
        <f>ISBLANK(#REF!)</f>
        <v>0</v>
      </c>
      <c r="R11" t="b">
        <f t="shared" si="1"/>
        <v>0</v>
      </c>
      <c r="T11" s="32"/>
      <c r="U11" s="32"/>
      <c r="V11" s="32"/>
      <c r="W11" s="32"/>
    </row>
    <row r="12" spans="1:28" ht="15.75" x14ac:dyDescent="0.25">
      <c r="A12">
        <v>10460</v>
      </c>
      <c r="B12" t="s">
        <v>30</v>
      </c>
      <c r="C12" t="s">
        <v>23</v>
      </c>
      <c r="D12">
        <v>12.99</v>
      </c>
      <c r="E12">
        <v>554.27</v>
      </c>
      <c r="F12" t="s">
        <v>19</v>
      </c>
      <c r="G12" t="s">
        <v>24</v>
      </c>
      <c r="H12" t="s">
        <v>31</v>
      </c>
      <c r="I12" t="s">
        <v>29</v>
      </c>
      <c r="K12">
        <v>630.37</v>
      </c>
      <c r="L12">
        <v>646.65</v>
      </c>
      <c r="P12" t="b">
        <f t="shared" si="0"/>
        <v>0</v>
      </c>
      <c r="Q12" t="b">
        <f>ISBLANK(#REF!)</f>
        <v>0</v>
      </c>
      <c r="R12" t="b">
        <f t="shared" si="1"/>
        <v>0</v>
      </c>
      <c r="T12" s="27"/>
      <c r="U12" s="32"/>
      <c r="V12" s="32"/>
      <c r="W12" s="32"/>
    </row>
    <row r="13" spans="1:28" x14ac:dyDescent="0.25">
      <c r="A13">
        <v>10461</v>
      </c>
      <c r="B13" t="s">
        <v>30</v>
      </c>
      <c r="C13" t="s">
        <v>27</v>
      </c>
      <c r="D13">
        <v>9.9499999999999993</v>
      </c>
      <c r="E13">
        <v>201.01</v>
      </c>
      <c r="F13" t="s">
        <v>19</v>
      </c>
      <c r="G13" t="s">
        <v>24</v>
      </c>
      <c r="H13" t="s">
        <v>31</v>
      </c>
      <c r="I13" t="s">
        <v>29</v>
      </c>
      <c r="K13">
        <v>523.48</v>
      </c>
      <c r="L13">
        <v>631.25</v>
      </c>
    </row>
    <row r="14" spans="1:28" ht="15.75" x14ac:dyDescent="0.25">
      <c r="A14">
        <v>10462</v>
      </c>
      <c r="B14" t="s">
        <v>30</v>
      </c>
      <c r="C14" t="s">
        <v>10</v>
      </c>
      <c r="D14">
        <v>3.49</v>
      </c>
      <c r="E14">
        <v>573.07000000000005</v>
      </c>
      <c r="F14" t="s">
        <v>19</v>
      </c>
      <c r="G14" t="s">
        <v>24</v>
      </c>
      <c r="H14" t="s">
        <v>32</v>
      </c>
      <c r="I14" t="s">
        <v>29</v>
      </c>
      <c r="K14">
        <v>508.08</v>
      </c>
      <c r="L14">
        <v>630.37</v>
      </c>
      <c r="T14" s="31"/>
    </row>
    <row r="15" spans="1:28" ht="15.75" x14ac:dyDescent="0.25">
      <c r="A15">
        <v>10463</v>
      </c>
      <c r="B15" t="s">
        <v>30</v>
      </c>
      <c r="C15" t="s">
        <v>15</v>
      </c>
      <c r="D15">
        <v>2.95</v>
      </c>
      <c r="E15">
        <v>677.97</v>
      </c>
      <c r="F15" t="s">
        <v>19</v>
      </c>
      <c r="G15" t="s">
        <v>24</v>
      </c>
      <c r="H15" t="s">
        <v>32</v>
      </c>
      <c r="I15" t="s">
        <v>29</v>
      </c>
      <c r="K15">
        <v>538.88</v>
      </c>
      <c r="L15">
        <v>600.46</v>
      </c>
      <c r="P15" s="47" t="s">
        <v>165</v>
      </c>
      <c r="Q15" s="47"/>
      <c r="R15" s="18"/>
    </row>
    <row r="16" spans="1:28" ht="16.5" thickBot="1" x14ac:dyDescent="0.3">
      <c r="A16">
        <v>10464</v>
      </c>
      <c r="B16" t="s">
        <v>30</v>
      </c>
      <c r="C16" t="s">
        <v>18</v>
      </c>
      <c r="D16">
        <v>4.99</v>
      </c>
      <c r="E16">
        <v>200.4</v>
      </c>
      <c r="F16" t="s">
        <v>19</v>
      </c>
      <c r="G16" t="s">
        <v>24</v>
      </c>
      <c r="H16" t="s">
        <v>33</v>
      </c>
      <c r="I16" t="s">
        <v>29</v>
      </c>
      <c r="K16">
        <v>687.68</v>
      </c>
      <c r="L16">
        <v>585.07000000000005</v>
      </c>
      <c r="P16" s="3" t="s">
        <v>166</v>
      </c>
      <c r="Q16" s="3" t="s">
        <v>167</v>
      </c>
      <c r="T16" s="31"/>
    </row>
    <row r="17" spans="1:22" x14ac:dyDescent="0.25">
      <c r="A17">
        <v>10465</v>
      </c>
      <c r="B17" t="s">
        <v>34</v>
      </c>
      <c r="C17" t="s">
        <v>23</v>
      </c>
      <c r="D17">
        <v>12.99</v>
      </c>
      <c r="E17">
        <v>554.27</v>
      </c>
      <c r="F17" t="s">
        <v>19</v>
      </c>
      <c r="G17" t="s">
        <v>24</v>
      </c>
      <c r="H17" t="s">
        <v>35</v>
      </c>
      <c r="I17" t="s">
        <v>17</v>
      </c>
      <c r="K17">
        <v>477.29</v>
      </c>
      <c r="L17">
        <v>573.07000000000005</v>
      </c>
      <c r="P17" s="5">
        <f>_xlfn.STDEV.P(A5:I258)</f>
        <v>4884.4449738720868</v>
      </c>
      <c r="Q17">
        <f>_xlfn.VAR.P(A5:I258)</f>
        <v>23857802.702784292</v>
      </c>
      <c r="S17" t="s">
        <v>114</v>
      </c>
    </row>
    <row r="18" spans="1:22" x14ac:dyDescent="0.25">
      <c r="A18">
        <v>10466</v>
      </c>
      <c r="B18" t="s">
        <v>34</v>
      </c>
      <c r="C18" t="s">
        <v>27</v>
      </c>
      <c r="D18">
        <v>9.9499999999999993</v>
      </c>
      <c r="E18">
        <v>201.01</v>
      </c>
      <c r="F18" t="s">
        <v>19</v>
      </c>
      <c r="G18" t="s">
        <v>24</v>
      </c>
      <c r="H18" t="s">
        <v>35</v>
      </c>
      <c r="I18" t="s">
        <v>17</v>
      </c>
      <c r="K18">
        <v>492.69</v>
      </c>
      <c r="L18">
        <v>569.66999999999996</v>
      </c>
      <c r="T18" t="s">
        <v>207</v>
      </c>
    </row>
    <row r="19" spans="1:22" x14ac:dyDescent="0.25">
      <c r="A19">
        <v>10467</v>
      </c>
      <c r="B19" t="s">
        <v>34</v>
      </c>
      <c r="C19" t="s">
        <v>10</v>
      </c>
      <c r="D19">
        <v>3.49</v>
      </c>
      <c r="E19">
        <v>573.07000000000005</v>
      </c>
      <c r="F19" t="s">
        <v>19</v>
      </c>
      <c r="G19" t="s">
        <v>24</v>
      </c>
      <c r="H19" t="s">
        <v>35</v>
      </c>
      <c r="I19" t="s">
        <v>17</v>
      </c>
      <c r="K19">
        <v>461.89</v>
      </c>
      <c r="L19">
        <v>554.27</v>
      </c>
      <c r="T19" t="s">
        <v>208</v>
      </c>
    </row>
    <row r="20" spans="1:22" x14ac:dyDescent="0.25">
      <c r="A20">
        <v>10468</v>
      </c>
      <c r="B20" t="s">
        <v>34</v>
      </c>
      <c r="C20" t="s">
        <v>15</v>
      </c>
      <c r="D20">
        <v>2.95</v>
      </c>
      <c r="E20">
        <v>677.97</v>
      </c>
      <c r="F20" t="s">
        <v>19</v>
      </c>
      <c r="G20" t="s">
        <v>24</v>
      </c>
      <c r="H20" t="s">
        <v>16</v>
      </c>
      <c r="I20" t="s">
        <v>17</v>
      </c>
      <c r="K20">
        <v>446.5</v>
      </c>
      <c r="L20">
        <v>538.88</v>
      </c>
      <c r="T20" t="s">
        <v>209</v>
      </c>
    </row>
    <row r="21" spans="1:22" x14ac:dyDescent="0.25">
      <c r="A21">
        <v>10470</v>
      </c>
      <c r="B21" t="s">
        <v>36</v>
      </c>
      <c r="C21" t="s">
        <v>23</v>
      </c>
      <c r="D21">
        <v>12.99</v>
      </c>
      <c r="E21">
        <v>554.27</v>
      </c>
      <c r="F21" t="s">
        <v>19</v>
      </c>
      <c r="G21" t="s">
        <v>24</v>
      </c>
      <c r="H21" t="s">
        <v>16</v>
      </c>
      <c r="I21" t="s">
        <v>17</v>
      </c>
      <c r="K21">
        <v>585.07000000000005</v>
      </c>
      <c r="L21">
        <v>523.48</v>
      </c>
    </row>
    <row r="22" spans="1:22" x14ac:dyDescent="0.25">
      <c r="A22">
        <v>10471</v>
      </c>
      <c r="B22" t="s">
        <v>36</v>
      </c>
      <c r="C22" t="s">
        <v>27</v>
      </c>
      <c r="D22">
        <v>9.9499999999999993</v>
      </c>
      <c r="E22">
        <v>201.01</v>
      </c>
      <c r="F22" t="s">
        <v>19</v>
      </c>
      <c r="G22" t="s">
        <v>24</v>
      </c>
      <c r="H22" t="s">
        <v>16</v>
      </c>
      <c r="I22" t="s">
        <v>17</v>
      </c>
      <c r="K22">
        <v>221.11</v>
      </c>
      <c r="L22">
        <v>508.08</v>
      </c>
      <c r="U22" s="45" t="s">
        <v>205</v>
      </c>
      <c r="V22" s="45"/>
    </row>
    <row r="23" spans="1:22" ht="15.75" x14ac:dyDescent="0.25">
      <c r="A23">
        <v>10472</v>
      </c>
      <c r="B23" t="s">
        <v>36</v>
      </c>
      <c r="C23" t="s">
        <v>10</v>
      </c>
      <c r="D23">
        <v>3.49</v>
      </c>
      <c r="E23">
        <v>630.37</v>
      </c>
      <c r="F23" t="s">
        <v>19</v>
      </c>
      <c r="G23" t="s">
        <v>24</v>
      </c>
      <c r="H23" t="s">
        <v>37</v>
      </c>
      <c r="I23" t="s">
        <v>17</v>
      </c>
      <c r="K23">
        <v>600.46</v>
      </c>
      <c r="L23">
        <v>492.69</v>
      </c>
      <c r="U23" s="43" t="s">
        <v>204</v>
      </c>
      <c r="V23" s="43"/>
    </row>
    <row r="24" spans="1:22" x14ac:dyDescent="0.25">
      <c r="A24">
        <v>10473</v>
      </c>
      <c r="B24" t="s">
        <v>36</v>
      </c>
      <c r="C24" t="s">
        <v>15</v>
      </c>
      <c r="D24">
        <v>2.95</v>
      </c>
      <c r="E24">
        <v>677.97</v>
      </c>
      <c r="F24" t="s">
        <v>19</v>
      </c>
      <c r="G24" t="s">
        <v>24</v>
      </c>
      <c r="H24" t="s">
        <v>16</v>
      </c>
      <c r="I24" t="s">
        <v>17</v>
      </c>
      <c r="K24">
        <v>631.25</v>
      </c>
      <c r="L24">
        <v>477.29</v>
      </c>
      <c r="O24" t="s">
        <v>195</v>
      </c>
      <c r="P24" t="s">
        <v>2</v>
      </c>
      <c r="Q24" t="s">
        <v>4</v>
      </c>
      <c r="R24" t="s">
        <v>6</v>
      </c>
      <c r="S24" t="s">
        <v>196</v>
      </c>
      <c r="T24" t="s">
        <v>202</v>
      </c>
      <c r="U24" s="44" t="s">
        <v>203</v>
      </c>
      <c r="V24" s="44"/>
    </row>
    <row r="25" spans="1:22" x14ac:dyDescent="0.25">
      <c r="A25">
        <v>10474</v>
      </c>
      <c r="B25" t="s">
        <v>36</v>
      </c>
      <c r="C25" t="s">
        <v>18</v>
      </c>
      <c r="D25">
        <v>4.99</v>
      </c>
      <c r="E25">
        <v>200.4</v>
      </c>
      <c r="F25" t="s">
        <v>19</v>
      </c>
      <c r="G25" t="s">
        <v>24</v>
      </c>
      <c r="H25" t="s">
        <v>16</v>
      </c>
      <c r="I25" t="s">
        <v>17</v>
      </c>
      <c r="K25">
        <v>646.65</v>
      </c>
      <c r="L25">
        <v>461.89</v>
      </c>
      <c r="O25" t="s">
        <v>190</v>
      </c>
      <c r="P25" t="s">
        <v>197</v>
      </c>
      <c r="Q25">
        <v>5</v>
      </c>
      <c r="R25" t="s">
        <v>113</v>
      </c>
      <c r="S25" s="5">
        <v>4.7</v>
      </c>
      <c r="T25">
        <f>S25*Q25</f>
        <v>23.5</v>
      </c>
      <c r="U25">
        <f>T25</f>
        <v>23.5</v>
      </c>
      <c r="V25">
        <f>T25</f>
        <v>23.5</v>
      </c>
    </row>
    <row r="26" spans="1:22" x14ac:dyDescent="0.25">
      <c r="A26">
        <v>10475</v>
      </c>
      <c r="B26" t="s">
        <v>38</v>
      </c>
      <c r="C26" t="s">
        <v>23</v>
      </c>
      <c r="D26">
        <v>12.99</v>
      </c>
      <c r="E26">
        <v>523.48</v>
      </c>
      <c r="F26" t="s">
        <v>19</v>
      </c>
      <c r="G26" t="s">
        <v>24</v>
      </c>
      <c r="H26" t="s">
        <v>16</v>
      </c>
      <c r="I26" t="s">
        <v>17</v>
      </c>
      <c r="K26">
        <v>677.44</v>
      </c>
      <c r="L26">
        <v>446.5</v>
      </c>
      <c r="O26" t="s">
        <v>191</v>
      </c>
      <c r="P26" t="s">
        <v>198</v>
      </c>
      <c r="Q26">
        <v>2</v>
      </c>
      <c r="R26" t="s">
        <v>200</v>
      </c>
      <c r="S26" s="5">
        <v>18.75</v>
      </c>
      <c r="T26">
        <f t="shared" ref="T26:T29" si="2">S26*Q26</f>
        <v>37.5</v>
      </c>
      <c r="U26">
        <f t="shared" ref="U26:U29" si="3">T26</f>
        <v>37.5</v>
      </c>
      <c r="V26">
        <f t="shared" ref="V26:V29" si="4">T26</f>
        <v>37.5</v>
      </c>
    </row>
    <row r="27" spans="1:22" x14ac:dyDescent="0.25">
      <c r="A27">
        <v>10476</v>
      </c>
      <c r="B27" t="s">
        <v>38</v>
      </c>
      <c r="C27" t="s">
        <v>27</v>
      </c>
      <c r="D27">
        <v>9.9499999999999993</v>
      </c>
      <c r="E27">
        <v>201.01</v>
      </c>
      <c r="F27" t="s">
        <v>19</v>
      </c>
      <c r="G27" t="s">
        <v>24</v>
      </c>
      <c r="H27" t="s">
        <v>35</v>
      </c>
      <c r="I27" t="s">
        <v>17</v>
      </c>
      <c r="K27">
        <v>241.21</v>
      </c>
      <c r="L27">
        <v>301.51</v>
      </c>
      <c r="O27" t="s">
        <v>192</v>
      </c>
      <c r="P27" t="s">
        <v>199</v>
      </c>
      <c r="Q27">
        <v>25</v>
      </c>
      <c r="R27" t="s">
        <v>115</v>
      </c>
      <c r="S27" s="5">
        <v>1.5</v>
      </c>
      <c r="T27">
        <f t="shared" si="2"/>
        <v>37.5</v>
      </c>
      <c r="U27">
        <f t="shared" si="3"/>
        <v>37.5</v>
      </c>
      <c r="V27">
        <f t="shared" si="4"/>
        <v>37.5</v>
      </c>
    </row>
    <row r="28" spans="1:22" x14ac:dyDescent="0.25">
      <c r="A28">
        <v>10477</v>
      </c>
      <c r="B28" t="s">
        <v>38</v>
      </c>
      <c r="C28" t="s">
        <v>10</v>
      </c>
      <c r="D28">
        <v>3.49</v>
      </c>
      <c r="E28">
        <v>630.37</v>
      </c>
      <c r="F28" t="s">
        <v>19</v>
      </c>
      <c r="G28" t="s">
        <v>24</v>
      </c>
      <c r="H28" t="s">
        <v>39</v>
      </c>
      <c r="I28" t="s">
        <v>17</v>
      </c>
      <c r="K28">
        <v>261.31</v>
      </c>
      <c r="L28">
        <v>281.41000000000003</v>
      </c>
      <c r="O28" t="s">
        <v>193</v>
      </c>
      <c r="P28" t="s">
        <v>201</v>
      </c>
      <c r="Q28">
        <v>3</v>
      </c>
      <c r="R28" t="s">
        <v>115</v>
      </c>
      <c r="S28" s="5">
        <v>8</v>
      </c>
      <c r="T28">
        <f t="shared" si="2"/>
        <v>24</v>
      </c>
      <c r="U28">
        <f t="shared" si="3"/>
        <v>24</v>
      </c>
      <c r="V28">
        <f t="shared" si="4"/>
        <v>24</v>
      </c>
    </row>
    <row r="29" spans="1:22" x14ac:dyDescent="0.25">
      <c r="A29">
        <v>10478</v>
      </c>
      <c r="B29" t="s">
        <v>38</v>
      </c>
      <c r="C29" t="s">
        <v>15</v>
      </c>
      <c r="D29">
        <v>2.95</v>
      </c>
      <c r="E29">
        <v>677.97</v>
      </c>
      <c r="F29" t="s">
        <v>19</v>
      </c>
      <c r="G29" t="s">
        <v>24</v>
      </c>
      <c r="H29" t="s">
        <v>35</v>
      </c>
      <c r="I29" t="s">
        <v>17</v>
      </c>
      <c r="K29">
        <v>692.84</v>
      </c>
      <c r="L29">
        <v>261.31</v>
      </c>
      <c r="O29" t="s">
        <v>194</v>
      </c>
      <c r="P29" t="s">
        <v>23</v>
      </c>
      <c r="Q29">
        <v>4</v>
      </c>
      <c r="R29" t="s">
        <v>114</v>
      </c>
      <c r="S29" s="5">
        <v>6.5</v>
      </c>
      <c r="T29">
        <f t="shared" si="2"/>
        <v>26</v>
      </c>
      <c r="U29">
        <f t="shared" si="3"/>
        <v>26</v>
      </c>
      <c r="V29">
        <f t="shared" si="4"/>
        <v>26</v>
      </c>
    </row>
    <row r="30" spans="1:22" x14ac:dyDescent="0.25">
      <c r="A30">
        <v>10479</v>
      </c>
      <c r="B30" t="s">
        <v>38</v>
      </c>
      <c r="C30" t="s">
        <v>18</v>
      </c>
      <c r="D30">
        <v>4.99</v>
      </c>
      <c r="E30">
        <v>200.4</v>
      </c>
      <c r="F30" t="s">
        <v>19</v>
      </c>
      <c r="G30" t="s">
        <v>24</v>
      </c>
      <c r="H30" t="s">
        <v>40</v>
      </c>
      <c r="I30" t="s">
        <v>17</v>
      </c>
      <c r="K30">
        <v>281.41000000000003</v>
      </c>
      <c r="L30">
        <v>241.21</v>
      </c>
    </row>
    <row r="31" spans="1:22" x14ac:dyDescent="0.25">
      <c r="A31">
        <v>10480</v>
      </c>
      <c r="B31" t="s">
        <v>41</v>
      </c>
      <c r="C31" t="s">
        <v>23</v>
      </c>
      <c r="D31">
        <v>12.99</v>
      </c>
      <c r="E31">
        <v>508.08</v>
      </c>
      <c r="F31" t="s">
        <v>19</v>
      </c>
      <c r="G31" t="s">
        <v>24</v>
      </c>
      <c r="H31" t="s">
        <v>35</v>
      </c>
      <c r="I31" t="s">
        <v>17</v>
      </c>
      <c r="K31">
        <v>723.63</v>
      </c>
      <c r="L31">
        <v>221.11</v>
      </c>
    </row>
    <row r="32" spans="1:22" x14ac:dyDescent="0.25">
      <c r="A32">
        <v>10481</v>
      </c>
      <c r="B32" t="s">
        <v>41</v>
      </c>
      <c r="C32" t="s">
        <v>27</v>
      </c>
      <c r="D32">
        <v>9.9499999999999993</v>
      </c>
      <c r="E32">
        <v>201.01</v>
      </c>
      <c r="F32" t="s">
        <v>19</v>
      </c>
      <c r="G32" t="s">
        <v>24</v>
      </c>
      <c r="H32" t="s">
        <v>35</v>
      </c>
      <c r="I32" t="s">
        <v>17</v>
      </c>
      <c r="K32">
        <v>301.51</v>
      </c>
      <c r="L32">
        <v>201.01</v>
      </c>
    </row>
    <row r="33" spans="1:12" x14ac:dyDescent="0.25">
      <c r="A33">
        <v>10482</v>
      </c>
      <c r="B33" t="s">
        <v>41</v>
      </c>
      <c r="C33" t="s">
        <v>10</v>
      </c>
      <c r="D33">
        <v>25.5</v>
      </c>
      <c r="E33">
        <v>630.37</v>
      </c>
      <c r="F33" t="s">
        <v>19</v>
      </c>
      <c r="G33" t="s">
        <v>24</v>
      </c>
      <c r="H33" t="s">
        <v>42</v>
      </c>
      <c r="I33" t="s">
        <v>21</v>
      </c>
      <c r="K33">
        <v>754.43</v>
      </c>
      <c r="L33">
        <v>200.4</v>
      </c>
    </row>
    <row r="34" spans="1:12" x14ac:dyDescent="0.25">
      <c r="A34">
        <v>10486</v>
      </c>
      <c r="B34" t="s">
        <v>43</v>
      </c>
      <c r="C34" t="s">
        <v>27</v>
      </c>
      <c r="D34">
        <v>29.05</v>
      </c>
      <c r="E34">
        <v>201.01</v>
      </c>
      <c r="F34" t="s">
        <v>19</v>
      </c>
      <c r="G34" t="s">
        <v>24</v>
      </c>
      <c r="H34" t="s">
        <v>20</v>
      </c>
      <c r="I34" t="s">
        <v>21</v>
      </c>
    </row>
    <row r="35" spans="1:12" x14ac:dyDescent="0.25">
      <c r="A35">
        <v>10487</v>
      </c>
      <c r="B35" t="s">
        <v>43</v>
      </c>
      <c r="C35" t="s">
        <v>10</v>
      </c>
      <c r="D35">
        <v>3.49</v>
      </c>
      <c r="E35">
        <v>630.37</v>
      </c>
      <c r="F35" t="s">
        <v>19</v>
      </c>
      <c r="G35" t="s">
        <v>24</v>
      </c>
      <c r="H35" t="s">
        <v>42</v>
      </c>
      <c r="I35" t="s">
        <v>21</v>
      </c>
    </row>
    <row r="36" spans="1:12" x14ac:dyDescent="0.25">
      <c r="A36">
        <v>10488</v>
      </c>
      <c r="B36" t="s">
        <v>43</v>
      </c>
      <c r="C36" t="s">
        <v>15</v>
      </c>
      <c r="D36">
        <v>2.95</v>
      </c>
      <c r="E36">
        <v>677.97</v>
      </c>
      <c r="F36" t="s">
        <v>19</v>
      </c>
      <c r="G36" t="s">
        <v>24</v>
      </c>
      <c r="H36" t="s">
        <v>42</v>
      </c>
      <c r="I36" t="s">
        <v>21</v>
      </c>
    </row>
    <row r="37" spans="1:12" x14ac:dyDescent="0.25">
      <c r="A37">
        <v>10489</v>
      </c>
      <c r="B37" t="s">
        <v>43</v>
      </c>
      <c r="C37" t="s">
        <v>18</v>
      </c>
      <c r="D37">
        <v>4.99</v>
      </c>
      <c r="E37">
        <v>200.4</v>
      </c>
      <c r="F37" t="s">
        <v>19</v>
      </c>
      <c r="G37" t="s">
        <v>24</v>
      </c>
      <c r="H37" t="s">
        <v>35</v>
      </c>
      <c r="I37" t="s">
        <v>17</v>
      </c>
    </row>
    <row r="38" spans="1:12" x14ac:dyDescent="0.25">
      <c r="A38">
        <v>10490</v>
      </c>
      <c r="B38" t="s">
        <v>44</v>
      </c>
      <c r="C38" t="s">
        <v>23</v>
      </c>
      <c r="D38">
        <v>12.99</v>
      </c>
      <c r="E38">
        <v>508.08</v>
      </c>
      <c r="F38" t="s">
        <v>19</v>
      </c>
      <c r="G38" t="s">
        <v>24</v>
      </c>
      <c r="H38" t="s">
        <v>35</v>
      </c>
      <c r="I38" t="s">
        <v>17</v>
      </c>
    </row>
    <row r="39" spans="1:12" x14ac:dyDescent="0.25">
      <c r="A39">
        <v>10491</v>
      </c>
      <c r="B39" t="s">
        <v>44</v>
      </c>
      <c r="C39" t="s">
        <v>27</v>
      </c>
      <c r="D39">
        <v>9.9499999999999993</v>
      </c>
      <c r="E39">
        <v>201.01</v>
      </c>
      <c r="F39" t="s">
        <v>19</v>
      </c>
      <c r="G39" t="s">
        <v>24</v>
      </c>
      <c r="H39" t="s">
        <v>35</v>
      </c>
      <c r="I39" t="s">
        <v>17</v>
      </c>
    </row>
    <row r="40" spans="1:12" x14ac:dyDescent="0.25">
      <c r="A40">
        <v>10492</v>
      </c>
      <c r="B40" t="s">
        <v>44</v>
      </c>
      <c r="C40" t="s">
        <v>10</v>
      </c>
      <c r="D40">
        <v>3.49</v>
      </c>
      <c r="E40">
        <v>573.07000000000005</v>
      </c>
      <c r="F40" t="s">
        <v>19</v>
      </c>
      <c r="G40" t="s">
        <v>24</v>
      </c>
      <c r="H40" t="s">
        <v>35</v>
      </c>
      <c r="I40" t="s">
        <v>17</v>
      </c>
    </row>
    <row r="41" spans="1:12" x14ac:dyDescent="0.25">
      <c r="A41">
        <v>10493</v>
      </c>
      <c r="B41" t="s">
        <v>44</v>
      </c>
      <c r="C41" t="s">
        <v>15</v>
      </c>
      <c r="D41">
        <v>2.95</v>
      </c>
      <c r="E41">
        <v>677.97</v>
      </c>
      <c r="F41" t="s">
        <v>19</v>
      </c>
      <c r="G41" t="s">
        <v>24</v>
      </c>
      <c r="H41" t="s">
        <v>35</v>
      </c>
      <c r="I41" t="s">
        <v>17</v>
      </c>
    </row>
    <row r="42" spans="1:12" x14ac:dyDescent="0.25">
      <c r="A42">
        <v>10494</v>
      </c>
      <c r="B42" t="s">
        <v>44</v>
      </c>
      <c r="C42" t="s">
        <v>18</v>
      </c>
      <c r="D42">
        <v>4.99</v>
      </c>
      <c r="E42">
        <v>200.4</v>
      </c>
      <c r="F42" t="s">
        <v>19</v>
      </c>
      <c r="G42" t="s">
        <v>24</v>
      </c>
      <c r="H42" t="s">
        <v>35</v>
      </c>
      <c r="I42" t="s">
        <v>17</v>
      </c>
    </row>
    <row r="43" spans="1:12" x14ac:dyDescent="0.25">
      <c r="A43">
        <v>10495</v>
      </c>
      <c r="B43" t="s">
        <v>45</v>
      </c>
      <c r="C43" t="s">
        <v>23</v>
      </c>
      <c r="D43">
        <v>12.99</v>
      </c>
      <c r="E43">
        <v>508.08</v>
      </c>
      <c r="F43" t="s">
        <v>19</v>
      </c>
      <c r="G43" t="s">
        <v>24</v>
      </c>
      <c r="H43" t="s">
        <v>35</v>
      </c>
      <c r="I43" t="s">
        <v>17</v>
      </c>
    </row>
    <row r="44" spans="1:12" x14ac:dyDescent="0.25">
      <c r="A44">
        <v>10496</v>
      </c>
      <c r="B44" t="s">
        <v>45</v>
      </c>
      <c r="C44" t="s">
        <v>27</v>
      </c>
      <c r="D44">
        <v>9.9499999999999993</v>
      </c>
      <c r="E44">
        <v>201.01</v>
      </c>
      <c r="F44" t="s">
        <v>19</v>
      </c>
      <c r="G44" t="s">
        <v>24</v>
      </c>
      <c r="H44" t="s">
        <v>35</v>
      </c>
      <c r="I44" t="s">
        <v>17</v>
      </c>
    </row>
    <row r="45" spans="1:12" x14ac:dyDescent="0.25">
      <c r="A45">
        <v>10497</v>
      </c>
      <c r="B45" t="s">
        <v>45</v>
      </c>
      <c r="C45" t="s">
        <v>10</v>
      </c>
      <c r="D45">
        <v>3.49</v>
      </c>
      <c r="E45">
        <v>573.07000000000005</v>
      </c>
      <c r="F45" t="s">
        <v>19</v>
      </c>
      <c r="G45" t="s">
        <v>24</v>
      </c>
      <c r="H45" t="s">
        <v>35</v>
      </c>
      <c r="I45" t="s">
        <v>17</v>
      </c>
    </row>
    <row r="46" spans="1:12" x14ac:dyDescent="0.25">
      <c r="A46">
        <v>10498</v>
      </c>
      <c r="B46" t="s">
        <v>45</v>
      </c>
      <c r="C46" t="s">
        <v>15</v>
      </c>
      <c r="D46">
        <v>2.95</v>
      </c>
      <c r="E46">
        <v>677.97</v>
      </c>
      <c r="F46" t="s">
        <v>46</v>
      </c>
      <c r="G46" t="s">
        <v>24</v>
      </c>
      <c r="H46" t="s">
        <v>35</v>
      </c>
      <c r="I46" t="s">
        <v>17</v>
      </c>
    </row>
    <row r="47" spans="1:12" x14ac:dyDescent="0.25">
      <c r="A47">
        <v>10499</v>
      </c>
      <c r="B47" t="s">
        <v>45</v>
      </c>
      <c r="C47" t="s">
        <v>18</v>
      </c>
      <c r="D47">
        <v>4.99</v>
      </c>
      <c r="E47">
        <v>200.4</v>
      </c>
      <c r="F47" t="s">
        <v>46</v>
      </c>
      <c r="G47" t="s">
        <v>24</v>
      </c>
      <c r="H47" t="s">
        <v>35</v>
      </c>
      <c r="I47" t="s">
        <v>17</v>
      </c>
    </row>
    <row r="48" spans="1:12" x14ac:dyDescent="0.25">
      <c r="A48">
        <v>10500</v>
      </c>
      <c r="B48" t="s">
        <v>47</v>
      </c>
      <c r="C48" t="s">
        <v>23</v>
      </c>
      <c r="D48">
        <v>12.99</v>
      </c>
      <c r="E48">
        <v>523.48</v>
      </c>
      <c r="F48" t="s">
        <v>46</v>
      </c>
      <c r="G48" t="s">
        <v>24</v>
      </c>
      <c r="H48" t="s">
        <v>35</v>
      </c>
      <c r="I48" t="s">
        <v>17</v>
      </c>
    </row>
    <row r="49" spans="1:9" x14ac:dyDescent="0.25">
      <c r="A49">
        <v>10501</v>
      </c>
      <c r="B49" t="s">
        <v>47</v>
      </c>
      <c r="C49" t="s">
        <v>27</v>
      </c>
      <c r="D49">
        <v>9.9499999999999993</v>
      </c>
      <c r="E49">
        <v>201.01</v>
      </c>
      <c r="F49" t="s">
        <v>46</v>
      </c>
      <c r="G49" t="s">
        <v>24</v>
      </c>
      <c r="H49" t="s">
        <v>35</v>
      </c>
      <c r="I49" t="s">
        <v>17</v>
      </c>
    </row>
    <row r="50" spans="1:9" x14ac:dyDescent="0.25">
      <c r="A50">
        <v>10502</v>
      </c>
      <c r="B50" t="s">
        <v>47</v>
      </c>
      <c r="C50" t="s">
        <v>10</v>
      </c>
      <c r="D50">
        <v>3.49</v>
      </c>
      <c r="E50">
        <v>630.37</v>
      </c>
      <c r="F50" t="s">
        <v>46</v>
      </c>
      <c r="G50" t="s">
        <v>24</v>
      </c>
      <c r="H50" t="s">
        <v>35</v>
      </c>
      <c r="I50" t="s">
        <v>17</v>
      </c>
    </row>
    <row r="51" spans="1:9" x14ac:dyDescent="0.25">
      <c r="A51">
        <v>10503</v>
      </c>
      <c r="B51" t="s">
        <v>47</v>
      </c>
      <c r="C51" t="s">
        <v>15</v>
      </c>
      <c r="D51">
        <v>2.95</v>
      </c>
      <c r="E51">
        <v>677.97</v>
      </c>
      <c r="F51" t="s">
        <v>46</v>
      </c>
      <c r="G51" t="s">
        <v>24</v>
      </c>
      <c r="H51" t="s">
        <v>35</v>
      </c>
      <c r="I51" t="s">
        <v>17</v>
      </c>
    </row>
    <row r="52" spans="1:9" x14ac:dyDescent="0.25">
      <c r="A52">
        <v>10504</v>
      </c>
      <c r="B52" t="s">
        <v>47</v>
      </c>
      <c r="C52" t="s">
        <v>18</v>
      </c>
      <c r="D52">
        <v>4.99</v>
      </c>
      <c r="E52">
        <v>200.4</v>
      </c>
      <c r="F52" t="s">
        <v>46</v>
      </c>
      <c r="G52" t="s">
        <v>24</v>
      </c>
      <c r="H52" t="s">
        <v>35</v>
      </c>
      <c r="I52" t="s">
        <v>17</v>
      </c>
    </row>
    <row r="53" spans="1:9" x14ac:dyDescent="0.25">
      <c r="A53">
        <v>10505</v>
      </c>
      <c r="B53" t="s">
        <v>48</v>
      </c>
      <c r="C53" t="s">
        <v>23</v>
      </c>
      <c r="D53">
        <v>12.99</v>
      </c>
      <c r="E53">
        <v>538.88</v>
      </c>
      <c r="F53" t="s">
        <v>46</v>
      </c>
      <c r="G53" t="s">
        <v>24</v>
      </c>
      <c r="H53" t="s">
        <v>35</v>
      </c>
      <c r="I53" t="s">
        <v>17</v>
      </c>
    </row>
    <row r="54" spans="1:9" x14ac:dyDescent="0.25">
      <c r="A54">
        <v>10506</v>
      </c>
      <c r="B54" t="s">
        <v>48</v>
      </c>
      <c r="C54" t="s">
        <v>27</v>
      </c>
      <c r="D54">
        <v>9.9499999999999993</v>
      </c>
      <c r="E54">
        <v>201.01</v>
      </c>
      <c r="F54" t="s">
        <v>46</v>
      </c>
      <c r="G54" t="s">
        <v>24</v>
      </c>
      <c r="H54" t="s">
        <v>35</v>
      </c>
      <c r="I54" t="s">
        <v>17</v>
      </c>
    </row>
    <row r="55" spans="1:9" x14ac:dyDescent="0.25">
      <c r="A55">
        <v>10507</v>
      </c>
      <c r="B55" t="s">
        <v>48</v>
      </c>
      <c r="C55" t="s">
        <v>10</v>
      </c>
      <c r="D55">
        <v>3.49</v>
      </c>
      <c r="E55">
        <v>687.68</v>
      </c>
      <c r="F55" t="s">
        <v>46</v>
      </c>
      <c r="G55" t="s">
        <v>24</v>
      </c>
      <c r="H55" t="s">
        <v>35</v>
      </c>
      <c r="I55" t="s">
        <v>17</v>
      </c>
    </row>
    <row r="56" spans="1:9" x14ac:dyDescent="0.25">
      <c r="A56">
        <v>10508</v>
      </c>
      <c r="B56" t="s">
        <v>48</v>
      </c>
      <c r="C56" t="s">
        <v>15</v>
      </c>
      <c r="D56">
        <v>2.95</v>
      </c>
      <c r="E56">
        <v>677.97</v>
      </c>
      <c r="F56" t="s">
        <v>46</v>
      </c>
      <c r="G56" t="s">
        <v>24</v>
      </c>
      <c r="H56" t="s">
        <v>35</v>
      </c>
      <c r="I56" t="s">
        <v>17</v>
      </c>
    </row>
    <row r="57" spans="1:9" x14ac:dyDescent="0.25">
      <c r="A57">
        <v>10509</v>
      </c>
      <c r="B57" t="s">
        <v>48</v>
      </c>
      <c r="C57" t="s">
        <v>18</v>
      </c>
      <c r="D57">
        <v>4.99</v>
      </c>
      <c r="E57">
        <v>200.4</v>
      </c>
      <c r="F57" t="s">
        <v>46</v>
      </c>
      <c r="G57" t="s">
        <v>24</v>
      </c>
      <c r="H57" t="s">
        <v>35</v>
      </c>
      <c r="I57" t="s">
        <v>17</v>
      </c>
    </row>
    <row r="58" spans="1:9" x14ac:dyDescent="0.25">
      <c r="A58">
        <v>10510</v>
      </c>
      <c r="B58" t="s">
        <v>49</v>
      </c>
      <c r="C58" t="s">
        <v>23</v>
      </c>
      <c r="D58">
        <v>12.99</v>
      </c>
      <c r="E58">
        <v>508.08</v>
      </c>
      <c r="F58" t="s">
        <v>46</v>
      </c>
      <c r="G58" t="s">
        <v>24</v>
      </c>
      <c r="H58" t="s">
        <v>35</v>
      </c>
      <c r="I58" t="s">
        <v>17</v>
      </c>
    </row>
    <row r="59" spans="1:9" x14ac:dyDescent="0.25">
      <c r="A59">
        <v>10511</v>
      </c>
      <c r="B59" t="s">
        <v>49</v>
      </c>
      <c r="C59" t="s">
        <v>27</v>
      </c>
      <c r="D59">
        <v>9.9499999999999993</v>
      </c>
      <c r="E59">
        <v>201.01</v>
      </c>
      <c r="F59" t="s">
        <v>46</v>
      </c>
      <c r="G59" t="s">
        <v>24</v>
      </c>
      <c r="H59" t="s">
        <v>42</v>
      </c>
      <c r="I59" t="s">
        <v>21</v>
      </c>
    </row>
    <row r="60" spans="1:9" x14ac:dyDescent="0.25">
      <c r="A60">
        <v>10512</v>
      </c>
      <c r="B60" t="s">
        <v>49</v>
      </c>
      <c r="C60" t="s">
        <v>10</v>
      </c>
      <c r="D60">
        <v>3.49</v>
      </c>
      <c r="E60">
        <v>687.68</v>
      </c>
      <c r="F60" t="s">
        <v>46</v>
      </c>
      <c r="G60" t="s">
        <v>24</v>
      </c>
      <c r="H60" t="s">
        <v>42</v>
      </c>
      <c r="I60" t="s">
        <v>21</v>
      </c>
    </row>
    <row r="61" spans="1:9" x14ac:dyDescent="0.25">
      <c r="A61">
        <v>10513</v>
      </c>
      <c r="B61" t="s">
        <v>49</v>
      </c>
      <c r="C61" t="s">
        <v>15</v>
      </c>
      <c r="D61">
        <v>2.95</v>
      </c>
      <c r="E61">
        <v>677.97</v>
      </c>
      <c r="F61" t="s">
        <v>46</v>
      </c>
      <c r="G61" t="s">
        <v>50</v>
      </c>
      <c r="H61" t="s">
        <v>42</v>
      </c>
      <c r="I61" t="s">
        <v>21</v>
      </c>
    </row>
    <row r="62" spans="1:9" x14ac:dyDescent="0.25">
      <c r="A62">
        <v>10514</v>
      </c>
      <c r="B62" t="s">
        <v>49</v>
      </c>
      <c r="C62" t="s">
        <v>18</v>
      </c>
      <c r="D62">
        <v>4.99</v>
      </c>
      <c r="E62">
        <v>200.4</v>
      </c>
      <c r="F62" t="s">
        <v>46</v>
      </c>
      <c r="G62" t="s">
        <v>50</v>
      </c>
      <c r="H62" t="s">
        <v>42</v>
      </c>
      <c r="I62" t="s">
        <v>21</v>
      </c>
    </row>
    <row r="63" spans="1:9" x14ac:dyDescent="0.25">
      <c r="A63">
        <v>10515</v>
      </c>
      <c r="B63" t="s">
        <v>51</v>
      </c>
      <c r="C63" t="s">
        <v>23</v>
      </c>
      <c r="D63">
        <v>12.99</v>
      </c>
      <c r="E63">
        <v>477.29</v>
      </c>
      <c r="F63" t="s">
        <v>46</v>
      </c>
      <c r="G63" t="s">
        <v>50</v>
      </c>
      <c r="H63" t="s">
        <v>42</v>
      </c>
      <c r="I63" t="s">
        <v>21</v>
      </c>
    </row>
    <row r="64" spans="1:9" x14ac:dyDescent="0.25">
      <c r="A64">
        <v>10516</v>
      </c>
      <c r="B64" t="s">
        <v>51</v>
      </c>
      <c r="C64" t="s">
        <v>27</v>
      </c>
      <c r="D64">
        <v>9.9499999999999993</v>
      </c>
      <c r="E64">
        <v>201.01</v>
      </c>
      <c r="F64" t="s">
        <v>46</v>
      </c>
      <c r="G64" t="s">
        <v>50</v>
      </c>
      <c r="H64" t="s">
        <v>42</v>
      </c>
      <c r="I64" t="s">
        <v>21</v>
      </c>
    </row>
    <row r="65" spans="1:9" x14ac:dyDescent="0.25">
      <c r="A65">
        <v>10483</v>
      </c>
      <c r="B65" t="s">
        <v>41</v>
      </c>
      <c r="C65" t="s">
        <v>15</v>
      </c>
      <c r="D65">
        <v>2.95</v>
      </c>
      <c r="E65">
        <v>677.97</v>
      </c>
      <c r="F65" t="s">
        <v>19</v>
      </c>
      <c r="G65" t="s">
        <v>24</v>
      </c>
      <c r="H65" t="s">
        <v>20</v>
      </c>
      <c r="I65" t="s">
        <v>21</v>
      </c>
    </row>
    <row r="66" spans="1:9" x14ac:dyDescent="0.25">
      <c r="A66">
        <v>10484</v>
      </c>
      <c r="B66" t="s">
        <v>41</v>
      </c>
      <c r="C66" t="s">
        <v>18</v>
      </c>
      <c r="D66">
        <v>4.99</v>
      </c>
      <c r="E66">
        <v>200.4</v>
      </c>
      <c r="F66" t="s">
        <v>19</v>
      </c>
      <c r="G66" t="s">
        <v>24</v>
      </c>
      <c r="H66" t="s">
        <v>20</v>
      </c>
      <c r="I66" t="s">
        <v>21</v>
      </c>
    </row>
    <row r="67" spans="1:9" x14ac:dyDescent="0.25">
      <c r="A67">
        <v>10485</v>
      </c>
      <c r="B67" t="s">
        <v>43</v>
      </c>
      <c r="C67" t="s">
        <v>23</v>
      </c>
      <c r="D67">
        <v>12.99</v>
      </c>
      <c r="E67">
        <v>523.48</v>
      </c>
      <c r="F67" t="s">
        <v>19</v>
      </c>
      <c r="G67" t="s">
        <v>24</v>
      </c>
      <c r="H67" t="s">
        <v>20</v>
      </c>
      <c r="I67" t="s">
        <v>21</v>
      </c>
    </row>
    <row r="68" spans="1:9" x14ac:dyDescent="0.25">
      <c r="A68">
        <v>10520</v>
      </c>
      <c r="B68" t="s">
        <v>52</v>
      </c>
      <c r="C68" t="s">
        <v>23</v>
      </c>
      <c r="D68">
        <v>12.99</v>
      </c>
      <c r="E68">
        <v>492.69</v>
      </c>
      <c r="F68" t="s">
        <v>46</v>
      </c>
      <c r="G68" t="s">
        <v>50</v>
      </c>
      <c r="H68" t="s">
        <v>31</v>
      </c>
      <c r="I68" t="s">
        <v>29</v>
      </c>
    </row>
    <row r="69" spans="1:9" x14ac:dyDescent="0.25">
      <c r="A69">
        <v>10521</v>
      </c>
      <c r="B69" t="s">
        <v>52</v>
      </c>
      <c r="C69" t="s">
        <v>27</v>
      </c>
      <c r="D69">
        <v>9.9499999999999993</v>
      </c>
      <c r="E69">
        <v>201.01</v>
      </c>
      <c r="F69" t="s">
        <v>46</v>
      </c>
      <c r="G69" t="s">
        <v>50</v>
      </c>
      <c r="H69" t="s">
        <v>31</v>
      </c>
      <c r="I69" t="s">
        <v>29</v>
      </c>
    </row>
    <row r="70" spans="1:9" x14ac:dyDescent="0.25">
      <c r="A70">
        <v>10522</v>
      </c>
      <c r="B70" t="s">
        <v>52</v>
      </c>
      <c r="C70" t="s">
        <v>10</v>
      </c>
      <c r="D70">
        <v>3.49</v>
      </c>
      <c r="E70">
        <v>687.68</v>
      </c>
      <c r="F70" t="s">
        <v>46</v>
      </c>
      <c r="G70" t="s">
        <v>50</v>
      </c>
      <c r="H70" t="s">
        <v>31</v>
      </c>
      <c r="I70" t="s">
        <v>29</v>
      </c>
    </row>
    <row r="71" spans="1:9" x14ac:dyDescent="0.25">
      <c r="A71">
        <v>10523</v>
      </c>
      <c r="B71" t="s">
        <v>52</v>
      </c>
      <c r="C71" t="s">
        <v>15</v>
      </c>
      <c r="D71">
        <v>2.95</v>
      </c>
      <c r="E71">
        <v>745.76</v>
      </c>
      <c r="F71" t="s">
        <v>46</v>
      </c>
      <c r="G71" t="s">
        <v>50</v>
      </c>
      <c r="H71" t="s">
        <v>31</v>
      </c>
      <c r="I71" t="s">
        <v>29</v>
      </c>
    </row>
    <row r="72" spans="1:9" x14ac:dyDescent="0.25">
      <c r="A72">
        <v>10524</v>
      </c>
      <c r="B72" t="s">
        <v>52</v>
      </c>
      <c r="C72" t="s">
        <v>18</v>
      </c>
      <c r="D72">
        <v>4.99</v>
      </c>
      <c r="E72">
        <v>200.4</v>
      </c>
      <c r="F72" t="s">
        <v>46</v>
      </c>
      <c r="G72" t="s">
        <v>50</v>
      </c>
      <c r="H72" t="s">
        <v>31</v>
      </c>
      <c r="I72" t="s">
        <v>29</v>
      </c>
    </row>
    <row r="73" spans="1:9" x14ac:dyDescent="0.25">
      <c r="A73">
        <v>10525</v>
      </c>
      <c r="B73" t="s">
        <v>53</v>
      </c>
      <c r="C73" t="s">
        <v>23</v>
      </c>
      <c r="D73">
        <v>12.99</v>
      </c>
      <c r="E73">
        <v>461.89</v>
      </c>
      <c r="F73" t="s">
        <v>46</v>
      </c>
      <c r="G73" t="s">
        <v>50</v>
      </c>
      <c r="H73" t="s">
        <v>31</v>
      </c>
      <c r="I73" t="s">
        <v>29</v>
      </c>
    </row>
    <row r="74" spans="1:9" x14ac:dyDescent="0.25">
      <c r="A74">
        <v>10526</v>
      </c>
      <c r="B74" t="s">
        <v>53</v>
      </c>
      <c r="C74" t="s">
        <v>27</v>
      </c>
      <c r="D74">
        <v>9.9499999999999993</v>
      </c>
      <c r="E74">
        <v>201.01</v>
      </c>
      <c r="F74" t="s">
        <v>46</v>
      </c>
      <c r="G74" t="s">
        <v>50</v>
      </c>
      <c r="H74" t="s">
        <v>31</v>
      </c>
      <c r="I74" t="s">
        <v>29</v>
      </c>
    </row>
    <row r="75" spans="1:9" x14ac:dyDescent="0.25">
      <c r="A75">
        <v>10527</v>
      </c>
      <c r="B75" t="s">
        <v>53</v>
      </c>
      <c r="C75" t="s">
        <v>10</v>
      </c>
      <c r="D75">
        <v>3.49</v>
      </c>
      <c r="E75">
        <v>687.68</v>
      </c>
      <c r="F75" t="s">
        <v>46</v>
      </c>
      <c r="G75" t="s">
        <v>50</v>
      </c>
      <c r="H75" t="s">
        <v>31</v>
      </c>
      <c r="I75" t="s">
        <v>29</v>
      </c>
    </row>
    <row r="76" spans="1:9" x14ac:dyDescent="0.25">
      <c r="A76">
        <v>10528</v>
      </c>
      <c r="B76" t="s">
        <v>53</v>
      </c>
      <c r="C76" t="s">
        <v>15</v>
      </c>
      <c r="D76">
        <v>2.95</v>
      </c>
      <c r="E76">
        <v>745.76</v>
      </c>
      <c r="F76" t="s">
        <v>46</v>
      </c>
      <c r="G76" t="s">
        <v>50</v>
      </c>
      <c r="H76" t="s">
        <v>31</v>
      </c>
      <c r="I76" t="s">
        <v>29</v>
      </c>
    </row>
    <row r="77" spans="1:9" x14ac:dyDescent="0.25">
      <c r="A77">
        <v>10529</v>
      </c>
      <c r="B77" t="s">
        <v>53</v>
      </c>
      <c r="C77" t="s">
        <v>18</v>
      </c>
      <c r="D77">
        <v>4.99</v>
      </c>
      <c r="E77">
        <v>200.4</v>
      </c>
      <c r="F77" t="s">
        <v>46</v>
      </c>
      <c r="G77" t="s">
        <v>50</v>
      </c>
      <c r="H77" t="s">
        <v>31</v>
      </c>
      <c r="I77" t="s">
        <v>29</v>
      </c>
    </row>
    <row r="78" spans="1:9" x14ac:dyDescent="0.25">
      <c r="A78">
        <v>10530</v>
      </c>
      <c r="B78" t="s">
        <v>54</v>
      </c>
      <c r="C78" t="s">
        <v>23</v>
      </c>
      <c r="D78">
        <v>12.99</v>
      </c>
      <c r="E78">
        <v>477.29</v>
      </c>
      <c r="F78" t="s">
        <v>46</v>
      </c>
      <c r="G78" t="s">
        <v>50</v>
      </c>
      <c r="H78" t="s">
        <v>31</v>
      </c>
      <c r="I78" t="s">
        <v>29</v>
      </c>
    </row>
    <row r="79" spans="1:9" x14ac:dyDescent="0.25">
      <c r="A79">
        <v>10531</v>
      </c>
      <c r="B79" t="s">
        <v>54</v>
      </c>
      <c r="C79" t="s">
        <v>27</v>
      </c>
      <c r="D79">
        <v>9.9499999999999993</v>
      </c>
      <c r="E79">
        <v>201.01</v>
      </c>
      <c r="F79" t="s">
        <v>46</v>
      </c>
      <c r="G79" t="s">
        <v>50</v>
      </c>
      <c r="H79" t="s">
        <v>31</v>
      </c>
      <c r="I79" t="s">
        <v>29</v>
      </c>
    </row>
    <row r="80" spans="1:9" x14ac:dyDescent="0.25">
      <c r="A80">
        <v>10532</v>
      </c>
      <c r="B80" t="s">
        <v>54</v>
      </c>
      <c r="C80" t="s">
        <v>10</v>
      </c>
      <c r="D80">
        <v>3.49</v>
      </c>
      <c r="E80">
        <v>687.68</v>
      </c>
      <c r="F80" t="s">
        <v>46</v>
      </c>
      <c r="G80" t="s">
        <v>50</v>
      </c>
      <c r="H80" t="s">
        <v>42</v>
      </c>
      <c r="I80" t="s">
        <v>21</v>
      </c>
    </row>
    <row r="81" spans="1:9" x14ac:dyDescent="0.25">
      <c r="A81">
        <v>10533</v>
      </c>
      <c r="B81" t="s">
        <v>54</v>
      </c>
      <c r="C81" t="s">
        <v>15</v>
      </c>
      <c r="D81">
        <v>2.95</v>
      </c>
      <c r="E81">
        <v>745.76</v>
      </c>
      <c r="F81" t="s">
        <v>46</v>
      </c>
      <c r="G81" t="s">
        <v>50</v>
      </c>
      <c r="H81" t="s">
        <v>42</v>
      </c>
      <c r="I81" t="s">
        <v>21</v>
      </c>
    </row>
    <row r="82" spans="1:9" x14ac:dyDescent="0.25">
      <c r="A82">
        <v>10534</v>
      </c>
      <c r="B82" t="s">
        <v>54</v>
      </c>
      <c r="C82" t="s">
        <v>18</v>
      </c>
      <c r="D82">
        <v>4.99</v>
      </c>
      <c r="E82">
        <v>200.4</v>
      </c>
      <c r="F82" t="s">
        <v>46</v>
      </c>
      <c r="G82" t="s">
        <v>50</v>
      </c>
      <c r="H82" t="s">
        <v>35</v>
      </c>
      <c r="I82" t="s">
        <v>17</v>
      </c>
    </row>
    <row r="83" spans="1:9" x14ac:dyDescent="0.25">
      <c r="A83">
        <v>10535</v>
      </c>
      <c r="B83" t="s">
        <v>55</v>
      </c>
      <c r="C83" t="s">
        <v>23</v>
      </c>
      <c r="D83">
        <v>12.99</v>
      </c>
      <c r="E83">
        <v>477.29</v>
      </c>
      <c r="F83" t="s">
        <v>46</v>
      </c>
      <c r="G83" t="s">
        <v>24</v>
      </c>
      <c r="H83" t="s">
        <v>35</v>
      </c>
      <c r="I83" t="s">
        <v>17</v>
      </c>
    </row>
    <row r="84" spans="1:9" x14ac:dyDescent="0.25">
      <c r="A84">
        <v>10536</v>
      </c>
      <c r="B84" t="s">
        <v>55</v>
      </c>
      <c r="C84" t="s">
        <v>27</v>
      </c>
      <c r="D84">
        <v>9.9499999999999993</v>
      </c>
      <c r="E84">
        <v>201.01</v>
      </c>
      <c r="F84" t="s">
        <v>46</v>
      </c>
      <c r="G84" t="s">
        <v>24</v>
      </c>
      <c r="H84" t="s">
        <v>35</v>
      </c>
      <c r="I84" t="s">
        <v>17</v>
      </c>
    </row>
    <row r="85" spans="1:9" x14ac:dyDescent="0.25">
      <c r="A85">
        <v>10540</v>
      </c>
      <c r="B85" t="s">
        <v>56</v>
      </c>
      <c r="C85" t="s">
        <v>23</v>
      </c>
      <c r="D85">
        <v>12.99</v>
      </c>
      <c r="E85">
        <v>461.89</v>
      </c>
      <c r="F85" t="s">
        <v>46</v>
      </c>
      <c r="G85" t="s">
        <v>24</v>
      </c>
      <c r="H85" t="s">
        <v>35</v>
      </c>
      <c r="I85" t="s">
        <v>17</v>
      </c>
    </row>
    <row r="86" spans="1:9" x14ac:dyDescent="0.25">
      <c r="A86">
        <v>10541</v>
      </c>
      <c r="B86" t="s">
        <v>56</v>
      </c>
      <c r="C86" t="s">
        <v>27</v>
      </c>
      <c r="D86">
        <v>9.9499999999999993</v>
      </c>
      <c r="E86">
        <v>201.01</v>
      </c>
      <c r="F86" t="s">
        <v>46</v>
      </c>
      <c r="G86" t="s">
        <v>24</v>
      </c>
      <c r="H86" t="s">
        <v>57</v>
      </c>
      <c r="I86" t="s">
        <v>14</v>
      </c>
    </row>
    <row r="87" spans="1:9" x14ac:dyDescent="0.25">
      <c r="A87">
        <v>10542</v>
      </c>
      <c r="B87" t="s">
        <v>56</v>
      </c>
      <c r="C87" t="s">
        <v>10</v>
      </c>
      <c r="D87">
        <v>3.49</v>
      </c>
      <c r="E87">
        <v>630.37</v>
      </c>
      <c r="F87" t="s">
        <v>46</v>
      </c>
      <c r="G87" t="s">
        <v>24</v>
      </c>
      <c r="H87" t="s">
        <v>57</v>
      </c>
      <c r="I87" t="s">
        <v>14</v>
      </c>
    </row>
    <row r="88" spans="1:9" x14ac:dyDescent="0.25">
      <c r="A88">
        <v>10543</v>
      </c>
      <c r="B88" t="s">
        <v>56</v>
      </c>
      <c r="C88" t="s">
        <v>15</v>
      </c>
      <c r="D88">
        <v>2.95</v>
      </c>
      <c r="E88">
        <v>745.76</v>
      </c>
      <c r="F88" t="s">
        <v>46</v>
      </c>
      <c r="G88" t="s">
        <v>24</v>
      </c>
      <c r="H88" t="s">
        <v>57</v>
      </c>
      <c r="I88" t="s">
        <v>14</v>
      </c>
    </row>
    <row r="89" spans="1:9" x14ac:dyDescent="0.25">
      <c r="A89">
        <v>10544</v>
      </c>
      <c r="B89" t="s">
        <v>56</v>
      </c>
      <c r="C89" t="s">
        <v>18</v>
      </c>
      <c r="D89">
        <v>4.99</v>
      </c>
      <c r="E89">
        <v>200.4</v>
      </c>
      <c r="F89" t="s">
        <v>46</v>
      </c>
      <c r="G89" t="s">
        <v>24</v>
      </c>
      <c r="H89" t="s">
        <v>57</v>
      </c>
      <c r="I89" t="s">
        <v>14</v>
      </c>
    </row>
    <row r="90" spans="1:9" x14ac:dyDescent="0.25">
      <c r="A90">
        <v>10545</v>
      </c>
      <c r="B90" t="s">
        <v>58</v>
      </c>
      <c r="C90" t="s">
        <v>23</v>
      </c>
      <c r="D90">
        <v>12.99</v>
      </c>
      <c r="E90">
        <v>446.5</v>
      </c>
      <c r="F90" t="s">
        <v>46</v>
      </c>
      <c r="G90" t="s">
        <v>24</v>
      </c>
      <c r="H90" t="s">
        <v>57</v>
      </c>
      <c r="I90" t="s">
        <v>14</v>
      </c>
    </row>
    <row r="91" spans="1:9" x14ac:dyDescent="0.25">
      <c r="A91">
        <v>10546</v>
      </c>
      <c r="B91" t="s">
        <v>58</v>
      </c>
      <c r="C91" t="s">
        <v>27</v>
      </c>
      <c r="D91">
        <v>9.9499999999999993</v>
      </c>
      <c r="E91">
        <v>201.01</v>
      </c>
      <c r="F91" t="s">
        <v>46</v>
      </c>
      <c r="G91" t="s">
        <v>24</v>
      </c>
      <c r="H91" t="s">
        <v>57</v>
      </c>
      <c r="I91" t="s">
        <v>14</v>
      </c>
    </row>
    <row r="92" spans="1:9" x14ac:dyDescent="0.25">
      <c r="A92">
        <v>10547</v>
      </c>
      <c r="B92" t="s">
        <v>58</v>
      </c>
      <c r="C92" t="s">
        <v>10</v>
      </c>
      <c r="D92">
        <v>3.49</v>
      </c>
      <c r="E92">
        <v>630.37</v>
      </c>
      <c r="F92" t="s">
        <v>46</v>
      </c>
      <c r="G92" t="s">
        <v>24</v>
      </c>
      <c r="H92" t="s">
        <v>57</v>
      </c>
      <c r="I92" t="s">
        <v>14</v>
      </c>
    </row>
    <row r="93" spans="1:9" x14ac:dyDescent="0.25">
      <c r="A93">
        <v>10548</v>
      </c>
      <c r="B93" t="s">
        <v>58</v>
      </c>
      <c r="C93" t="s">
        <v>15</v>
      </c>
      <c r="D93">
        <v>2.95</v>
      </c>
      <c r="E93">
        <v>745.76</v>
      </c>
      <c r="F93" t="s">
        <v>46</v>
      </c>
      <c r="G93" t="s">
        <v>24</v>
      </c>
      <c r="H93" t="s">
        <v>57</v>
      </c>
      <c r="I93" t="s">
        <v>14</v>
      </c>
    </row>
    <row r="94" spans="1:9" x14ac:dyDescent="0.25">
      <c r="A94">
        <v>10549</v>
      </c>
      <c r="B94" t="s">
        <v>58</v>
      </c>
      <c r="C94" t="s">
        <v>18</v>
      </c>
      <c r="D94">
        <v>4.99</v>
      </c>
      <c r="E94">
        <v>200.4</v>
      </c>
      <c r="F94" t="s">
        <v>46</v>
      </c>
      <c r="G94" t="s">
        <v>24</v>
      </c>
      <c r="H94" t="s">
        <v>57</v>
      </c>
      <c r="I94" t="s">
        <v>14</v>
      </c>
    </row>
    <row r="95" spans="1:9" x14ac:dyDescent="0.25">
      <c r="A95">
        <v>10550</v>
      </c>
      <c r="B95" t="s">
        <v>59</v>
      </c>
      <c r="C95" t="s">
        <v>23</v>
      </c>
      <c r="D95">
        <v>12.99</v>
      </c>
      <c r="E95">
        <v>461.89</v>
      </c>
      <c r="F95" t="s">
        <v>46</v>
      </c>
      <c r="G95" t="s">
        <v>24</v>
      </c>
      <c r="H95" t="s">
        <v>57</v>
      </c>
      <c r="I95" t="s">
        <v>14</v>
      </c>
    </row>
    <row r="96" spans="1:9" x14ac:dyDescent="0.25">
      <c r="A96">
        <v>10551</v>
      </c>
      <c r="B96" t="s">
        <v>59</v>
      </c>
      <c r="C96" t="s">
        <v>27</v>
      </c>
      <c r="D96">
        <v>9.9499999999999993</v>
      </c>
      <c r="E96">
        <v>201.01</v>
      </c>
      <c r="F96" t="s">
        <v>46</v>
      </c>
      <c r="G96" t="s">
        <v>24</v>
      </c>
      <c r="H96" t="s">
        <v>57</v>
      </c>
      <c r="I96" t="s">
        <v>14</v>
      </c>
    </row>
    <row r="97" spans="1:9" x14ac:dyDescent="0.25">
      <c r="A97">
        <v>10552</v>
      </c>
      <c r="B97" t="s">
        <v>59</v>
      </c>
      <c r="C97" t="s">
        <v>10</v>
      </c>
      <c r="D97">
        <v>3.49</v>
      </c>
      <c r="E97">
        <v>630.37</v>
      </c>
      <c r="F97" t="s">
        <v>11</v>
      </c>
      <c r="G97" t="s">
        <v>24</v>
      </c>
      <c r="H97" t="s">
        <v>57</v>
      </c>
      <c r="I97" t="s">
        <v>14</v>
      </c>
    </row>
    <row r="98" spans="1:9" x14ac:dyDescent="0.25">
      <c r="A98">
        <v>10553</v>
      </c>
      <c r="B98" t="s">
        <v>59</v>
      </c>
      <c r="C98" t="s">
        <v>15</v>
      </c>
      <c r="D98">
        <v>2.95</v>
      </c>
      <c r="E98">
        <v>745.76</v>
      </c>
      <c r="F98" t="s">
        <v>11</v>
      </c>
      <c r="G98" t="s">
        <v>24</v>
      </c>
      <c r="H98" t="s">
        <v>57</v>
      </c>
      <c r="I98" t="s">
        <v>14</v>
      </c>
    </row>
    <row r="99" spans="1:9" x14ac:dyDescent="0.25">
      <c r="A99">
        <v>10554</v>
      </c>
      <c r="B99" t="s">
        <v>59</v>
      </c>
      <c r="C99" t="s">
        <v>18</v>
      </c>
      <c r="D99">
        <v>4.99</v>
      </c>
      <c r="E99">
        <v>200.4</v>
      </c>
      <c r="F99" t="s">
        <v>11</v>
      </c>
      <c r="G99" t="s">
        <v>24</v>
      </c>
      <c r="H99" t="s">
        <v>57</v>
      </c>
      <c r="I99" t="s">
        <v>14</v>
      </c>
    </row>
    <row r="100" spans="1:9" x14ac:dyDescent="0.25">
      <c r="A100">
        <v>10555</v>
      </c>
      <c r="B100" t="s">
        <v>60</v>
      </c>
      <c r="C100" t="s">
        <v>23</v>
      </c>
      <c r="D100">
        <v>12.99</v>
      </c>
      <c r="E100">
        <v>477.29</v>
      </c>
      <c r="F100" t="s">
        <v>11</v>
      </c>
      <c r="G100" t="s">
        <v>24</v>
      </c>
      <c r="H100" t="s">
        <v>57</v>
      </c>
      <c r="I100" t="s">
        <v>14</v>
      </c>
    </row>
    <row r="101" spans="1:9" x14ac:dyDescent="0.25">
      <c r="A101">
        <v>10556</v>
      </c>
      <c r="B101" t="s">
        <v>60</v>
      </c>
      <c r="C101" t="s">
        <v>27</v>
      </c>
      <c r="D101">
        <v>9.9499999999999993</v>
      </c>
      <c r="E101">
        <v>201.01</v>
      </c>
      <c r="F101" t="s">
        <v>11</v>
      </c>
      <c r="G101" t="s">
        <v>24</v>
      </c>
      <c r="H101" t="s">
        <v>57</v>
      </c>
      <c r="I101" t="s">
        <v>14</v>
      </c>
    </row>
    <row r="102" spans="1:9" x14ac:dyDescent="0.25">
      <c r="A102">
        <v>10557</v>
      </c>
      <c r="B102" t="s">
        <v>60</v>
      </c>
      <c r="C102" t="s">
        <v>10</v>
      </c>
      <c r="D102">
        <v>3.49</v>
      </c>
      <c r="E102">
        <v>630.37</v>
      </c>
      <c r="F102" t="s">
        <v>11</v>
      </c>
      <c r="G102" t="s">
        <v>24</v>
      </c>
      <c r="H102" t="s">
        <v>57</v>
      </c>
      <c r="I102" t="s">
        <v>14</v>
      </c>
    </row>
    <row r="103" spans="1:9" x14ac:dyDescent="0.25">
      <c r="A103">
        <v>10558</v>
      </c>
      <c r="B103" t="s">
        <v>60</v>
      </c>
      <c r="C103" t="s">
        <v>15</v>
      </c>
      <c r="D103">
        <v>2.95</v>
      </c>
      <c r="E103">
        <v>677.97</v>
      </c>
      <c r="F103" t="s">
        <v>11</v>
      </c>
      <c r="G103" t="s">
        <v>24</v>
      </c>
      <c r="H103" t="s">
        <v>57</v>
      </c>
      <c r="I103" t="s">
        <v>14</v>
      </c>
    </row>
    <row r="104" spans="1:9" x14ac:dyDescent="0.25">
      <c r="A104">
        <v>10559</v>
      </c>
      <c r="B104" t="s">
        <v>60</v>
      </c>
      <c r="C104" t="s">
        <v>18</v>
      </c>
      <c r="D104">
        <v>4.99</v>
      </c>
      <c r="E104">
        <v>200.4</v>
      </c>
      <c r="F104" t="s">
        <v>11</v>
      </c>
      <c r="G104" t="s">
        <v>24</v>
      </c>
      <c r="H104" t="s">
        <v>57</v>
      </c>
      <c r="I104" t="s">
        <v>14</v>
      </c>
    </row>
    <row r="105" spans="1:9" x14ac:dyDescent="0.25">
      <c r="A105">
        <v>10560</v>
      </c>
      <c r="B105" t="s">
        <v>61</v>
      </c>
      <c r="C105" t="s">
        <v>23</v>
      </c>
      <c r="D105">
        <v>12.99</v>
      </c>
      <c r="E105">
        <v>477.29</v>
      </c>
      <c r="F105" t="s">
        <v>11</v>
      </c>
      <c r="G105" t="s">
        <v>24</v>
      </c>
      <c r="H105" t="s">
        <v>57</v>
      </c>
      <c r="I105" t="s">
        <v>14</v>
      </c>
    </row>
    <row r="106" spans="1:9" x14ac:dyDescent="0.25">
      <c r="A106">
        <v>10561</v>
      </c>
      <c r="B106" t="s">
        <v>61</v>
      </c>
      <c r="C106" t="s">
        <v>27</v>
      </c>
      <c r="D106">
        <v>9.9499999999999993</v>
      </c>
      <c r="E106">
        <v>201.01</v>
      </c>
      <c r="F106" t="s">
        <v>11</v>
      </c>
      <c r="G106" t="s">
        <v>24</v>
      </c>
      <c r="H106" t="s">
        <v>57</v>
      </c>
      <c r="I106" t="s">
        <v>14</v>
      </c>
    </row>
    <row r="107" spans="1:9" x14ac:dyDescent="0.25">
      <c r="A107">
        <v>10562</v>
      </c>
      <c r="B107" t="s">
        <v>61</v>
      </c>
      <c r="C107" t="s">
        <v>10</v>
      </c>
      <c r="D107">
        <v>3.49</v>
      </c>
      <c r="E107">
        <v>630.37</v>
      </c>
      <c r="F107" t="s">
        <v>11</v>
      </c>
      <c r="G107" t="s">
        <v>24</v>
      </c>
      <c r="H107" t="s">
        <v>57</v>
      </c>
      <c r="I107" t="s">
        <v>14</v>
      </c>
    </row>
    <row r="108" spans="1:9" x14ac:dyDescent="0.25">
      <c r="A108">
        <v>10563</v>
      </c>
      <c r="B108" t="s">
        <v>61</v>
      </c>
      <c r="C108" t="s">
        <v>15</v>
      </c>
      <c r="D108">
        <v>2.95</v>
      </c>
      <c r="E108">
        <v>677.97</v>
      </c>
      <c r="F108" t="s">
        <v>11</v>
      </c>
      <c r="G108" t="s">
        <v>24</v>
      </c>
      <c r="H108" t="s">
        <v>57</v>
      </c>
      <c r="I108" t="s">
        <v>14</v>
      </c>
    </row>
    <row r="109" spans="1:9" x14ac:dyDescent="0.25">
      <c r="A109">
        <v>10564</v>
      </c>
      <c r="B109" t="s">
        <v>61</v>
      </c>
      <c r="C109" t="s">
        <v>18</v>
      </c>
      <c r="D109">
        <v>4.99</v>
      </c>
      <c r="E109">
        <v>200.4</v>
      </c>
      <c r="F109" t="s">
        <v>11</v>
      </c>
      <c r="G109" t="s">
        <v>24</v>
      </c>
      <c r="H109" t="s">
        <v>57</v>
      </c>
      <c r="I109" t="s">
        <v>14</v>
      </c>
    </row>
    <row r="110" spans="1:9" x14ac:dyDescent="0.25">
      <c r="A110">
        <v>10565</v>
      </c>
      <c r="B110" t="s">
        <v>62</v>
      </c>
      <c r="C110" t="s">
        <v>23</v>
      </c>
      <c r="D110">
        <v>12.99</v>
      </c>
      <c r="E110">
        <v>492.69</v>
      </c>
      <c r="F110" t="s">
        <v>11</v>
      </c>
      <c r="G110" t="s">
        <v>24</v>
      </c>
      <c r="H110" t="s">
        <v>57</v>
      </c>
      <c r="I110" t="s">
        <v>14</v>
      </c>
    </row>
    <row r="111" spans="1:9" x14ac:dyDescent="0.25">
      <c r="A111">
        <v>10566</v>
      </c>
      <c r="B111" t="s">
        <v>62</v>
      </c>
      <c r="C111" t="s">
        <v>27</v>
      </c>
      <c r="D111">
        <v>9.9499999999999993</v>
      </c>
      <c r="E111">
        <v>201.01</v>
      </c>
      <c r="F111" t="s">
        <v>11</v>
      </c>
      <c r="G111" t="s">
        <v>24</v>
      </c>
      <c r="H111" t="s">
        <v>57</v>
      </c>
      <c r="I111" t="s">
        <v>14</v>
      </c>
    </row>
    <row r="112" spans="1:9" x14ac:dyDescent="0.25">
      <c r="A112">
        <v>10567</v>
      </c>
      <c r="B112" t="s">
        <v>62</v>
      </c>
      <c r="C112" t="s">
        <v>10</v>
      </c>
      <c r="D112">
        <v>3.49</v>
      </c>
      <c r="E112">
        <v>630.37</v>
      </c>
      <c r="F112" t="s">
        <v>11</v>
      </c>
      <c r="G112" t="s">
        <v>24</v>
      </c>
      <c r="H112" t="s">
        <v>57</v>
      </c>
      <c r="I112" t="s">
        <v>14</v>
      </c>
    </row>
    <row r="113" spans="1:9" x14ac:dyDescent="0.25">
      <c r="A113">
        <v>10568</v>
      </c>
      <c r="B113" t="s">
        <v>62</v>
      </c>
      <c r="C113" t="s">
        <v>15</v>
      </c>
      <c r="D113">
        <v>2.95</v>
      </c>
      <c r="E113">
        <v>677.97</v>
      </c>
      <c r="F113" t="s">
        <v>11</v>
      </c>
      <c r="G113" t="s">
        <v>24</v>
      </c>
      <c r="H113" t="s">
        <v>57</v>
      </c>
      <c r="I113" t="s">
        <v>14</v>
      </c>
    </row>
    <row r="114" spans="1:9" x14ac:dyDescent="0.25">
      <c r="A114">
        <v>10569</v>
      </c>
      <c r="B114" t="s">
        <v>62</v>
      </c>
      <c r="C114" t="s">
        <v>18</v>
      </c>
      <c r="D114">
        <v>4.99</v>
      </c>
      <c r="E114">
        <v>200.4</v>
      </c>
      <c r="F114" t="s">
        <v>11</v>
      </c>
      <c r="G114" t="s">
        <v>24</v>
      </c>
      <c r="H114" t="s">
        <v>57</v>
      </c>
      <c r="I114" t="s">
        <v>14</v>
      </c>
    </row>
    <row r="115" spans="1:9" x14ac:dyDescent="0.25">
      <c r="A115">
        <v>10570</v>
      </c>
      <c r="B115" t="s">
        <v>63</v>
      </c>
      <c r="C115" t="s">
        <v>23</v>
      </c>
      <c r="D115">
        <v>12.99</v>
      </c>
      <c r="E115">
        <v>492.69</v>
      </c>
      <c r="F115" t="s">
        <v>11</v>
      </c>
      <c r="G115" t="s">
        <v>24</v>
      </c>
      <c r="H115" t="s">
        <v>57</v>
      </c>
      <c r="I115" t="s">
        <v>14</v>
      </c>
    </row>
    <row r="116" spans="1:9" x14ac:dyDescent="0.25">
      <c r="A116">
        <v>10571</v>
      </c>
      <c r="B116" t="s">
        <v>63</v>
      </c>
      <c r="C116" t="s">
        <v>27</v>
      </c>
      <c r="D116">
        <v>9.9499999999999993</v>
      </c>
      <c r="E116">
        <v>201.01</v>
      </c>
      <c r="F116" t="s">
        <v>11</v>
      </c>
      <c r="G116" t="s">
        <v>24</v>
      </c>
      <c r="H116" t="s">
        <v>57</v>
      </c>
      <c r="I116" t="s">
        <v>14</v>
      </c>
    </row>
    <row r="117" spans="1:9" x14ac:dyDescent="0.25">
      <c r="A117">
        <v>10572</v>
      </c>
      <c r="B117" t="s">
        <v>63</v>
      </c>
      <c r="C117" t="s">
        <v>10</v>
      </c>
      <c r="D117">
        <v>3.49</v>
      </c>
      <c r="E117">
        <v>573.07000000000005</v>
      </c>
      <c r="F117" t="s">
        <v>11</v>
      </c>
      <c r="G117" t="s">
        <v>24</v>
      </c>
      <c r="H117" t="s">
        <v>31</v>
      </c>
      <c r="I117" t="s">
        <v>29</v>
      </c>
    </row>
    <row r="118" spans="1:9" x14ac:dyDescent="0.25">
      <c r="A118">
        <v>10573</v>
      </c>
      <c r="B118" t="s">
        <v>63</v>
      </c>
      <c r="C118" t="s">
        <v>15</v>
      </c>
      <c r="D118">
        <v>2.95</v>
      </c>
      <c r="E118">
        <v>677.97</v>
      </c>
      <c r="F118" t="s">
        <v>11</v>
      </c>
      <c r="G118" t="s">
        <v>24</v>
      </c>
      <c r="H118" t="s">
        <v>31</v>
      </c>
      <c r="I118" t="s">
        <v>29</v>
      </c>
    </row>
    <row r="119" spans="1:9" x14ac:dyDescent="0.25">
      <c r="A119">
        <v>10574</v>
      </c>
      <c r="B119" t="s">
        <v>63</v>
      </c>
      <c r="C119" t="s">
        <v>18</v>
      </c>
      <c r="D119">
        <v>4.99</v>
      </c>
      <c r="E119">
        <v>200.4</v>
      </c>
      <c r="F119" t="s">
        <v>11</v>
      </c>
      <c r="G119" t="s">
        <v>24</v>
      </c>
      <c r="H119" t="s">
        <v>31</v>
      </c>
      <c r="I119" t="s">
        <v>29</v>
      </c>
    </row>
    <row r="120" spans="1:9" x14ac:dyDescent="0.25">
      <c r="A120">
        <v>10575</v>
      </c>
      <c r="B120" t="s">
        <v>64</v>
      </c>
      <c r="C120" t="s">
        <v>23</v>
      </c>
      <c r="D120">
        <v>12.99</v>
      </c>
      <c r="E120">
        <v>523.48</v>
      </c>
      <c r="F120" t="s">
        <v>11</v>
      </c>
      <c r="G120" t="s">
        <v>24</v>
      </c>
      <c r="H120" t="s">
        <v>31</v>
      </c>
      <c r="I120" t="s">
        <v>29</v>
      </c>
    </row>
    <row r="121" spans="1:9" x14ac:dyDescent="0.25">
      <c r="A121">
        <v>10576</v>
      </c>
      <c r="B121" t="s">
        <v>64</v>
      </c>
      <c r="C121" t="s">
        <v>27</v>
      </c>
      <c r="D121">
        <v>9.9499999999999993</v>
      </c>
      <c r="E121">
        <v>201.01</v>
      </c>
      <c r="F121" t="s">
        <v>11</v>
      </c>
      <c r="G121" t="s">
        <v>24</v>
      </c>
      <c r="H121" t="s">
        <v>31</v>
      </c>
      <c r="I121" t="s">
        <v>29</v>
      </c>
    </row>
    <row r="122" spans="1:9" x14ac:dyDescent="0.25">
      <c r="A122">
        <v>10577</v>
      </c>
      <c r="B122" t="s">
        <v>64</v>
      </c>
      <c r="C122" t="s">
        <v>10</v>
      </c>
      <c r="D122">
        <v>3.49</v>
      </c>
      <c r="E122">
        <v>630.37</v>
      </c>
      <c r="F122" t="s">
        <v>11</v>
      </c>
      <c r="G122" t="s">
        <v>24</v>
      </c>
      <c r="H122" t="s">
        <v>31</v>
      </c>
      <c r="I122" t="s">
        <v>29</v>
      </c>
    </row>
    <row r="123" spans="1:9" x14ac:dyDescent="0.25">
      <c r="A123">
        <v>10578</v>
      </c>
      <c r="B123" t="s">
        <v>64</v>
      </c>
      <c r="C123" t="s">
        <v>15</v>
      </c>
      <c r="D123">
        <v>2.95</v>
      </c>
      <c r="E123">
        <v>677.97</v>
      </c>
      <c r="F123" t="s">
        <v>11</v>
      </c>
      <c r="G123" t="s">
        <v>24</v>
      </c>
      <c r="H123" t="s">
        <v>31</v>
      </c>
      <c r="I123" t="s">
        <v>29</v>
      </c>
    </row>
    <row r="124" spans="1:9" x14ac:dyDescent="0.25">
      <c r="A124">
        <v>10579</v>
      </c>
      <c r="B124" t="s">
        <v>64</v>
      </c>
      <c r="C124" t="s">
        <v>18</v>
      </c>
      <c r="D124">
        <v>4.99</v>
      </c>
      <c r="E124">
        <v>200.4</v>
      </c>
      <c r="F124" t="s">
        <v>11</v>
      </c>
      <c r="G124" t="s">
        <v>24</v>
      </c>
      <c r="H124" t="s">
        <v>31</v>
      </c>
      <c r="I124" t="s">
        <v>29</v>
      </c>
    </row>
    <row r="125" spans="1:9" x14ac:dyDescent="0.25">
      <c r="A125">
        <v>10580</v>
      </c>
      <c r="B125" t="s">
        <v>65</v>
      </c>
      <c r="C125" t="s">
        <v>23</v>
      </c>
      <c r="D125">
        <v>12.99</v>
      </c>
      <c r="E125">
        <v>523.48</v>
      </c>
      <c r="F125" t="s">
        <v>11</v>
      </c>
      <c r="G125" t="s">
        <v>24</v>
      </c>
      <c r="H125" t="s">
        <v>31</v>
      </c>
      <c r="I125" t="s">
        <v>29</v>
      </c>
    </row>
    <row r="126" spans="1:9" x14ac:dyDescent="0.25">
      <c r="A126">
        <v>10581</v>
      </c>
      <c r="B126" t="s">
        <v>65</v>
      </c>
      <c r="C126" t="s">
        <v>27</v>
      </c>
      <c r="D126">
        <v>9.9499999999999993</v>
      </c>
      <c r="E126">
        <v>201.01</v>
      </c>
      <c r="F126" t="s">
        <v>11</v>
      </c>
      <c r="G126" t="s">
        <v>24</v>
      </c>
      <c r="H126" t="s">
        <v>31</v>
      </c>
      <c r="I126" t="s">
        <v>29</v>
      </c>
    </row>
    <row r="127" spans="1:9" x14ac:dyDescent="0.25">
      <c r="A127">
        <v>10582</v>
      </c>
      <c r="B127" t="s">
        <v>65</v>
      </c>
      <c r="C127" t="s">
        <v>10</v>
      </c>
      <c r="D127">
        <v>3.49</v>
      </c>
      <c r="E127">
        <v>630.37</v>
      </c>
      <c r="F127" t="s">
        <v>11</v>
      </c>
      <c r="G127" t="s">
        <v>24</v>
      </c>
      <c r="H127" t="s">
        <v>57</v>
      </c>
      <c r="I127" t="s">
        <v>14</v>
      </c>
    </row>
    <row r="128" spans="1:9" x14ac:dyDescent="0.25">
      <c r="A128">
        <v>10583</v>
      </c>
      <c r="B128" t="s">
        <v>65</v>
      </c>
      <c r="C128" t="s">
        <v>15</v>
      </c>
      <c r="D128">
        <v>2.95</v>
      </c>
      <c r="E128">
        <v>677.97</v>
      </c>
      <c r="F128" t="s">
        <v>11</v>
      </c>
      <c r="G128" t="s">
        <v>24</v>
      </c>
      <c r="H128" t="s">
        <v>57</v>
      </c>
      <c r="I128" t="s">
        <v>14</v>
      </c>
    </row>
    <row r="129" spans="1:9" x14ac:dyDescent="0.25">
      <c r="A129">
        <v>10584</v>
      </c>
      <c r="B129" t="s">
        <v>65</v>
      </c>
      <c r="C129" t="s">
        <v>18</v>
      </c>
      <c r="D129">
        <v>4.99</v>
      </c>
      <c r="E129">
        <v>200.4</v>
      </c>
      <c r="F129" t="s">
        <v>11</v>
      </c>
      <c r="G129" t="s">
        <v>24</v>
      </c>
      <c r="H129" t="s">
        <v>57</v>
      </c>
      <c r="I129" t="s">
        <v>14</v>
      </c>
    </row>
    <row r="130" spans="1:9" x14ac:dyDescent="0.25">
      <c r="A130">
        <v>10585</v>
      </c>
      <c r="B130" t="s">
        <v>66</v>
      </c>
      <c r="C130" t="s">
        <v>23</v>
      </c>
      <c r="D130">
        <v>12.99</v>
      </c>
      <c r="E130">
        <v>538.88</v>
      </c>
      <c r="F130" t="s">
        <v>11</v>
      </c>
      <c r="G130" t="s">
        <v>24</v>
      </c>
      <c r="H130" t="s">
        <v>57</v>
      </c>
      <c r="I130" t="s">
        <v>14</v>
      </c>
    </row>
    <row r="131" spans="1:9" x14ac:dyDescent="0.25">
      <c r="A131">
        <v>10586</v>
      </c>
      <c r="B131" t="s">
        <v>66</v>
      </c>
      <c r="C131" t="s">
        <v>27</v>
      </c>
      <c r="D131">
        <v>9.9499999999999993</v>
      </c>
      <c r="E131">
        <v>201.01</v>
      </c>
      <c r="F131" t="s">
        <v>11</v>
      </c>
      <c r="G131" t="s">
        <v>24</v>
      </c>
      <c r="H131" t="s">
        <v>57</v>
      </c>
      <c r="I131" t="s">
        <v>14</v>
      </c>
    </row>
    <row r="132" spans="1:9" x14ac:dyDescent="0.25">
      <c r="A132">
        <v>10537</v>
      </c>
      <c r="B132" t="s">
        <v>55</v>
      </c>
      <c r="C132" t="s">
        <v>10</v>
      </c>
      <c r="D132">
        <v>3.49</v>
      </c>
      <c r="E132">
        <v>630.37</v>
      </c>
      <c r="F132" t="s">
        <v>46</v>
      </c>
      <c r="G132" t="s">
        <v>24</v>
      </c>
      <c r="H132" t="s">
        <v>35</v>
      </c>
      <c r="I132" t="s">
        <v>17</v>
      </c>
    </row>
    <row r="133" spans="1:9" x14ac:dyDescent="0.25">
      <c r="A133">
        <v>10538</v>
      </c>
      <c r="B133" t="s">
        <v>55</v>
      </c>
      <c r="C133" t="s">
        <v>15</v>
      </c>
      <c r="D133">
        <v>2.95</v>
      </c>
      <c r="E133">
        <v>745.76</v>
      </c>
      <c r="F133" t="s">
        <v>46</v>
      </c>
      <c r="G133" t="s">
        <v>24</v>
      </c>
      <c r="H133" t="s">
        <v>35</v>
      </c>
      <c r="I133" t="s">
        <v>17</v>
      </c>
    </row>
    <row r="134" spans="1:9" x14ac:dyDescent="0.25">
      <c r="A134">
        <v>10539</v>
      </c>
      <c r="B134" t="s">
        <v>55</v>
      </c>
      <c r="C134" t="s">
        <v>18</v>
      </c>
      <c r="D134">
        <v>4.99</v>
      </c>
      <c r="E134">
        <v>200.4</v>
      </c>
      <c r="F134" t="s">
        <v>46</v>
      </c>
      <c r="G134" t="s">
        <v>24</v>
      </c>
      <c r="H134" t="s">
        <v>35</v>
      </c>
      <c r="I134" t="s">
        <v>17</v>
      </c>
    </row>
    <row r="135" spans="1:9" x14ac:dyDescent="0.25">
      <c r="A135">
        <v>10590</v>
      </c>
      <c r="B135" t="s">
        <v>67</v>
      </c>
      <c r="C135" t="s">
        <v>23</v>
      </c>
      <c r="D135">
        <v>12.99</v>
      </c>
      <c r="E135">
        <v>554.27</v>
      </c>
      <c r="F135" t="s">
        <v>11</v>
      </c>
      <c r="G135" t="s">
        <v>24</v>
      </c>
      <c r="H135" t="s">
        <v>57</v>
      </c>
      <c r="I135" t="s">
        <v>14</v>
      </c>
    </row>
    <row r="136" spans="1:9" x14ac:dyDescent="0.25">
      <c r="A136">
        <v>10591</v>
      </c>
      <c r="B136" t="s">
        <v>67</v>
      </c>
      <c r="C136" t="s">
        <v>27</v>
      </c>
      <c r="D136">
        <v>9.9499999999999993</v>
      </c>
      <c r="E136">
        <v>201.01</v>
      </c>
      <c r="F136" t="s">
        <v>11</v>
      </c>
      <c r="G136" t="s">
        <v>24</v>
      </c>
      <c r="H136" t="s">
        <v>57</v>
      </c>
      <c r="I136" t="s">
        <v>14</v>
      </c>
    </row>
    <row r="137" spans="1:9" x14ac:dyDescent="0.25">
      <c r="A137">
        <v>10592</v>
      </c>
      <c r="B137" t="s">
        <v>67</v>
      </c>
      <c r="C137" t="s">
        <v>10</v>
      </c>
      <c r="D137">
        <v>3.49</v>
      </c>
      <c r="E137">
        <v>573.07000000000005</v>
      </c>
      <c r="F137" t="s">
        <v>11</v>
      </c>
      <c r="G137" t="s">
        <v>24</v>
      </c>
      <c r="H137" t="s">
        <v>57</v>
      </c>
      <c r="I137" t="s">
        <v>14</v>
      </c>
    </row>
    <row r="138" spans="1:9" x14ac:dyDescent="0.25">
      <c r="A138">
        <v>10593</v>
      </c>
      <c r="B138" t="s">
        <v>67</v>
      </c>
      <c r="C138" t="s">
        <v>15</v>
      </c>
      <c r="D138">
        <v>2.95</v>
      </c>
      <c r="E138">
        <v>677.97</v>
      </c>
      <c r="F138" t="s">
        <v>11</v>
      </c>
      <c r="G138" t="s">
        <v>24</v>
      </c>
      <c r="H138" t="s">
        <v>57</v>
      </c>
      <c r="I138" t="s">
        <v>14</v>
      </c>
    </row>
    <row r="139" spans="1:9" x14ac:dyDescent="0.25">
      <c r="A139">
        <v>10594</v>
      </c>
      <c r="B139" t="s">
        <v>67</v>
      </c>
      <c r="C139" t="s">
        <v>18</v>
      </c>
      <c r="D139">
        <v>4.99</v>
      </c>
      <c r="E139">
        <v>200.4</v>
      </c>
      <c r="F139" t="s">
        <v>11</v>
      </c>
      <c r="G139" t="s">
        <v>24</v>
      </c>
      <c r="H139" t="s">
        <v>57</v>
      </c>
      <c r="I139" t="s">
        <v>14</v>
      </c>
    </row>
    <row r="140" spans="1:9" x14ac:dyDescent="0.25">
      <c r="A140">
        <v>10595</v>
      </c>
      <c r="B140" t="s">
        <v>68</v>
      </c>
      <c r="C140" t="s">
        <v>23</v>
      </c>
      <c r="D140">
        <v>12.99</v>
      </c>
      <c r="E140">
        <v>538.88</v>
      </c>
      <c r="F140" t="s">
        <v>11</v>
      </c>
      <c r="G140" t="s">
        <v>24</v>
      </c>
      <c r="H140" t="s">
        <v>57</v>
      </c>
      <c r="I140" t="s">
        <v>14</v>
      </c>
    </row>
    <row r="141" spans="1:9" x14ac:dyDescent="0.25">
      <c r="A141">
        <v>10596</v>
      </c>
      <c r="B141" t="s">
        <v>68</v>
      </c>
      <c r="C141" t="s">
        <v>27</v>
      </c>
      <c r="D141">
        <v>9.9499999999999993</v>
      </c>
      <c r="E141">
        <v>201.01</v>
      </c>
      <c r="F141" t="s">
        <v>11</v>
      </c>
      <c r="G141" t="s">
        <v>24</v>
      </c>
      <c r="H141" t="s">
        <v>57</v>
      </c>
      <c r="I141" t="s">
        <v>14</v>
      </c>
    </row>
    <row r="142" spans="1:9" x14ac:dyDescent="0.25">
      <c r="A142">
        <v>10597</v>
      </c>
      <c r="B142" t="s">
        <v>68</v>
      </c>
      <c r="C142" t="s">
        <v>10</v>
      </c>
      <c r="D142">
        <v>3.49</v>
      </c>
      <c r="E142">
        <v>573.07000000000005</v>
      </c>
      <c r="F142" t="s">
        <v>11</v>
      </c>
      <c r="G142" t="s">
        <v>24</v>
      </c>
      <c r="H142" t="s">
        <v>57</v>
      </c>
      <c r="I142" t="s">
        <v>14</v>
      </c>
    </row>
    <row r="143" spans="1:9" x14ac:dyDescent="0.25">
      <c r="A143">
        <v>10598</v>
      </c>
      <c r="B143" t="s">
        <v>68</v>
      </c>
      <c r="C143" t="s">
        <v>15</v>
      </c>
      <c r="D143">
        <v>2.95</v>
      </c>
      <c r="E143">
        <v>677.97</v>
      </c>
      <c r="F143" t="s">
        <v>11</v>
      </c>
      <c r="G143" t="s">
        <v>24</v>
      </c>
      <c r="H143" t="s">
        <v>57</v>
      </c>
      <c r="I143" t="s">
        <v>14</v>
      </c>
    </row>
    <row r="144" spans="1:9" x14ac:dyDescent="0.25">
      <c r="A144">
        <v>10599</v>
      </c>
      <c r="B144" t="s">
        <v>68</v>
      </c>
      <c r="C144" t="s">
        <v>18</v>
      </c>
      <c r="D144">
        <v>4.99</v>
      </c>
      <c r="E144">
        <v>200.4</v>
      </c>
      <c r="F144" t="s">
        <v>11</v>
      </c>
      <c r="G144" t="s">
        <v>24</v>
      </c>
      <c r="H144" t="s">
        <v>57</v>
      </c>
      <c r="I144" t="s">
        <v>14</v>
      </c>
    </row>
    <row r="145" spans="1:9" x14ac:dyDescent="0.25">
      <c r="A145">
        <v>10600</v>
      </c>
      <c r="B145" t="s">
        <v>69</v>
      </c>
      <c r="C145" t="s">
        <v>23</v>
      </c>
      <c r="D145">
        <v>12.99</v>
      </c>
      <c r="E145">
        <v>523.48</v>
      </c>
      <c r="F145" t="s">
        <v>11</v>
      </c>
      <c r="G145" t="s">
        <v>24</v>
      </c>
      <c r="H145" t="s">
        <v>57</v>
      </c>
      <c r="I145" t="s">
        <v>14</v>
      </c>
    </row>
    <row r="146" spans="1:9" x14ac:dyDescent="0.25">
      <c r="A146">
        <v>10601</v>
      </c>
      <c r="B146" t="s">
        <v>69</v>
      </c>
      <c r="C146" t="s">
        <v>27</v>
      </c>
      <c r="D146">
        <v>9.9499999999999993</v>
      </c>
      <c r="E146">
        <v>201.01</v>
      </c>
      <c r="F146" t="s">
        <v>11</v>
      </c>
      <c r="G146" t="s">
        <v>24</v>
      </c>
      <c r="H146" t="s">
        <v>57</v>
      </c>
      <c r="I146" t="s">
        <v>14</v>
      </c>
    </row>
    <row r="147" spans="1:9" x14ac:dyDescent="0.25">
      <c r="A147">
        <v>10602</v>
      </c>
      <c r="B147" t="s">
        <v>69</v>
      </c>
      <c r="C147" t="s">
        <v>10</v>
      </c>
      <c r="D147">
        <v>3.49</v>
      </c>
      <c r="E147">
        <v>630.37</v>
      </c>
      <c r="F147" t="s">
        <v>11</v>
      </c>
      <c r="G147" t="s">
        <v>50</v>
      </c>
      <c r="H147" t="s">
        <v>57</v>
      </c>
      <c r="I147" t="s">
        <v>14</v>
      </c>
    </row>
    <row r="148" spans="1:9" x14ac:dyDescent="0.25">
      <c r="A148">
        <v>10603</v>
      </c>
      <c r="B148" t="s">
        <v>69</v>
      </c>
      <c r="C148" t="s">
        <v>15</v>
      </c>
      <c r="D148">
        <v>2.95</v>
      </c>
      <c r="E148">
        <v>677.97</v>
      </c>
      <c r="F148" t="s">
        <v>11</v>
      </c>
      <c r="G148" t="s">
        <v>50</v>
      </c>
      <c r="H148" t="s">
        <v>57</v>
      </c>
      <c r="I148" t="s">
        <v>14</v>
      </c>
    </row>
    <row r="149" spans="1:9" x14ac:dyDescent="0.25">
      <c r="A149">
        <v>10604</v>
      </c>
      <c r="B149" t="s">
        <v>69</v>
      </c>
      <c r="C149" t="s">
        <v>18</v>
      </c>
      <c r="D149">
        <v>4.99</v>
      </c>
      <c r="E149">
        <v>200.4</v>
      </c>
      <c r="F149" t="s">
        <v>11</v>
      </c>
      <c r="G149" t="s">
        <v>50</v>
      </c>
      <c r="H149" t="s">
        <v>57</v>
      </c>
      <c r="I149" t="s">
        <v>14</v>
      </c>
    </row>
    <row r="150" spans="1:9" x14ac:dyDescent="0.25">
      <c r="A150">
        <v>10605</v>
      </c>
      <c r="B150" t="s">
        <v>70</v>
      </c>
      <c r="C150" t="s">
        <v>23</v>
      </c>
      <c r="D150">
        <v>12.99</v>
      </c>
      <c r="E150">
        <v>538.88</v>
      </c>
      <c r="F150" t="s">
        <v>11</v>
      </c>
      <c r="G150" t="s">
        <v>50</v>
      </c>
      <c r="H150" t="s">
        <v>57</v>
      </c>
      <c r="I150" t="s">
        <v>14</v>
      </c>
    </row>
    <row r="151" spans="1:9" x14ac:dyDescent="0.25">
      <c r="A151">
        <v>10606</v>
      </c>
      <c r="B151" t="s">
        <v>70</v>
      </c>
      <c r="C151" t="s">
        <v>27</v>
      </c>
      <c r="D151">
        <v>9.9499999999999993</v>
      </c>
      <c r="E151">
        <v>201.01</v>
      </c>
      <c r="F151" t="s">
        <v>11</v>
      </c>
      <c r="G151" t="s">
        <v>50</v>
      </c>
      <c r="H151" t="s">
        <v>57</v>
      </c>
      <c r="I151" t="s">
        <v>14</v>
      </c>
    </row>
    <row r="152" spans="1:9" x14ac:dyDescent="0.25">
      <c r="A152">
        <v>10607</v>
      </c>
      <c r="B152" t="s">
        <v>70</v>
      </c>
      <c r="C152" t="s">
        <v>10</v>
      </c>
      <c r="D152">
        <v>3.49</v>
      </c>
      <c r="E152">
        <v>630.37</v>
      </c>
      <c r="F152" t="s">
        <v>11</v>
      </c>
      <c r="G152" t="s">
        <v>50</v>
      </c>
      <c r="H152" t="s">
        <v>57</v>
      </c>
      <c r="I152" t="s">
        <v>14</v>
      </c>
    </row>
    <row r="153" spans="1:9" x14ac:dyDescent="0.25">
      <c r="A153">
        <v>10608</v>
      </c>
      <c r="B153" t="s">
        <v>70</v>
      </c>
      <c r="C153" t="s">
        <v>15</v>
      </c>
      <c r="D153">
        <v>2.95</v>
      </c>
      <c r="E153">
        <v>677.97</v>
      </c>
      <c r="F153" t="s">
        <v>11</v>
      </c>
      <c r="G153" t="s">
        <v>12</v>
      </c>
      <c r="H153" t="s">
        <v>57</v>
      </c>
      <c r="I153" t="s">
        <v>14</v>
      </c>
    </row>
    <row r="154" spans="1:9" x14ac:dyDescent="0.25">
      <c r="A154">
        <v>10609</v>
      </c>
      <c r="B154" t="s">
        <v>70</v>
      </c>
      <c r="C154" t="s">
        <v>18</v>
      </c>
      <c r="D154">
        <v>4.99</v>
      </c>
      <c r="E154">
        <v>200.4</v>
      </c>
      <c r="F154" t="s">
        <v>11</v>
      </c>
      <c r="G154" t="s">
        <v>12</v>
      </c>
      <c r="H154" t="s">
        <v>57</v>
      </c>
      <c r="I154" t="s">
        <v>14</v>
      </c>
    </row>
    <row r="155" spans="1:9" x14ac:dyDescent="0.25">
      <c r="A155">
        <v>10610</v>
      </c>
      <c r="B155" t="s">
        <v>71</v>
      </c>
      <c r="C155" t="s">
        <v>23</v>
      </c>
      <c r="D155">
        <v>12.99</v>
      </c>
      <c r="E155">
        <v>569.66999999999996</v>
      </c>
      <c r="F155" t="s">
        <v>11</v>
      </c>
      <c r="G155" t="s">
        <v>12</v>
      </c>
      <c r="H155" t="s">
        <v>57</v>
      </c>
      <c r="I155" t="s">
        <v>14</v>
      </c>
    </row>
    <row r="156" spans="1:9" x14ac:dyDescent="0.25">
      <c r="A156">
        <v>10611</v>
      </c>
      <c r="B156" t="s">
        <v>71</v>
      </c>
      <c r="C156" t="s">
        <v>27</v>
      </c>
      <c r="D156">
        <v>9.9499999999999993</v>
      </c>
      <c r="E156">
        <v>201.01</v>
      </c>
      <c r="F156" t="s">
        <v>11</v>
      </c>
      <c r="G156" t="s">
        <v>12</v>
      </c>
      <c r="H156" t="s">
        <v>57</v>
      </c>
      <c r="I156" t="s">
        <v>14</v>
      </c>
    </row>
    <row r="157" spans="1:9" x14ac:dyDescent="0.25">
      <c r="A157">
        <v>10612</v>
      </c>
      <c r="B157" t="s">
        <v>71</v>
      </c>
      <c r="C157" t="s">
        <v>10</v>
      </c>
      <c r="D157">
        <v>3.49</v>
      </c>
      <c r="E157">
        <v>630.37</v>
      </c>
      <c r="F157" t="s">
        <v>11</v>
      </c>
      <c r="G157" t="s">
        <v>12</v>
      </c>
      <c r="H157" t="s">
        <v>57</v>
      </c>
      <c r="I157" t="s">
        <v>14</v>
      </c>
    </row>
    <row r="158" spans="1:9" x14ac:dyDescent="0.25">
      <c r="A158">
        <v>10613</v>
      </c>
      <c r="B158" t="s">
        <v>71</v>
      </c>
      <c r="C158" t="s">
        <v>15</v>
      </c>
      <c r="D158">
        <v>2.95</v>
      </c>
      <c r="E158">
        <v>677.97</v>
      </c>
      <c r="F158" t="s">
        <v>11</v>
      </c>
      <c r="G158" t="s">
        <v>12</v>
      </c>
      <c r="H158" t="s">
        <v>57</v>
      </c>
      <c r="I158" t="s">
        <v>14</v>
      </c>
    </row>
    <row r="159" spans="1:9" x14ac:dyDescent="0.25">
      <c r="A159">
        <v>10614</v>
      </c>
      <c r="B159" t="s">
        <v>71</v>
      </c>
      <c r="C159" t="s">
        <v>18</v>
      </c>
      <c r="D159">
        <v>4.99</v>
      </c>
      <c r="E159">
        <v>200.4</v>
      </c>
      <c r="F159" t="s">
        <v>11</v>
      </c>
      <c r="G159" t="s">
        <v>12</v>
      </c>
      <c r="H159" t="s">
        <v>57</v>
      </c>
      <c r="I159" t="s">
        <v>14</v>
      </c>
    </row>
    <row r="160" spans="1:9" x14ac:dyDescent="0.25">
      <c r="A160">
        <v>10615</v>
      </c>
      <c r="B160" t="s">
        <v>72</v>
      </c>
      <c r="C160" t="s">
        <v>23</v>
      </c>
      <c r="D160">
        <v>12.99</v>
      </c>
      <c r="E160">
        <v>569.66999999999996</v>
      </c>
      <c r="F160" t="s">
        <v>11</v>
      </c>
      <c r="G160" t="s">
        <v>12</v>
      </c>
      <c r="H160" t="s">
        <v>57</v>
      </c>
      <c r="I160" t="s">
        <v>14</v>
      </c>
    </row>
    <row r="161" spans="1:9" x14ac:dyDescent="0.25">
      <c r="A161">
        <v>10616</v>
      </c>
      <c r="B161" t="s">
        <v>72</v>
      </c>
      <c r="C161" t="s">
        <v>27</v>
      </c>
      <c r="D161">
        <v>9.9499999999999993</v>
      </c>
      <c r="E161">
        <v>201.01</v>
      </c>
      <c r="F161" t="s">
        <v>11</v>
      </c>
      <c r="G161" t="s">
        <v>12</v>
      </c>
      <c r="H161" t="s">
        <v>57</v>
      </c>
      <c r="I161" t="s">
        <v>14</v>
      </c>
    </row>
    <row r="162" spans="1:9" x14ac:dyDescent="0.25">
      <c r="A162">
        <v>10617</v>
      </c>
      <c r="B162" t="s">
        <v>72</v>
      </c>
      <c r="C162" t="s">
        <v>10</v>
      </c>
      <c r="D162">
        <v>3.49</v>
      </c>
      <c r="E162">
        <v>630.37</v>
      </c>
      <c r="F162" t="s">
        <v>11</v>
      </c>
      <c r="G162" t="s">
        <v>12</v>
      </c>
      <c r="H162" t="s">
        <v>57</v>
      </c>
      <c r="I162" t="s">
        <v>14</v>
      </c>
    </row>
    <row r="163" spans="1:9" x14ac:dyDescent="0.25">
      <c r="A163">
        <v>10618</v>
      </c>
      <c r="B163" t="s">
        <v>72</v>
      </c>
      <c r="C163" t="s">
        <v>15</v>
      </c>
      <c r="D163">
        <v>2.95</v>
      </c>
      <c r="E163">
        <v>677.97</v>
      </c>
      <c r="F163" t="s">
        <v>11</v>
      </c>
      <c r="G163" t="s">
        <v>12</v>
      </c>
      <c r="H163" t="s">
        <v>57</v>
      </c>
      <c r="I163" t="s">
        <v>14</v>
      </c>
    </row>
    <row r="164" spans="1:9" x14ac:dyDescent="0.25">
      <c r="A164">
        <v>10619</v>
      </c>
      <c r="B164" t="s">
        <v>72</v>
      </c>
      <c r="C164" t="s">
        <v>18</v>
      </c>
      <c r="D164">
        <v>4.99</v>
      </c>
      <c r="E164">
        <v>200.4</v>
      </c>
      <c r="F164" t="s">
        <v>11</v>
      </c>
      <c r="G164" t="s">
        <v>12</v>
      </c>
      <c r="H164" t="s">
        <v>57</v>
      </c>
      <c r="I164" t="s">
        <v>14</v>
      </c>
    </row>
    <row r="165" spans="1:9" x14ac:dyDescent="0.25">
      <c r="A165">
        <v>10620</v>
      </c>
      <c r="B165" t="s">
        <v>73</v>
      </c>
      <c r="C165" t="s">
        <v>23</v>
      </c>
      <c r="D165">
        <v>12.99</v>
      </c>
      <c r="E165">
        <v>585.07000000000005</v>
      </c>
      <c r="F165" t="s">
        <v>11</v>
      </c>
      <c r="G165" t="s">
        <v>12</v>
      </c>
      <c r="H165" t="s">
        <v>57</v>
      </c>
      <c r="I165" t="s">
        <v>14</v>
      </c>
    </row>
    <row r="166" spans="1:9" x14ac:dyDescent="0.25">
      <c r="A166">
        <v>10621</v>
      </c>
      <c r="B166" t="s">
        <v>73</v>
      </c>
      <c r="C166" t="s">
        <v>27</v>
      </c>
      <c r="D166">
        <v>9.9499999999999993</v>
      </c>
      <c r="E166">
        <v>201.01</v>
      </c>
      <c r="F166" t="s">
        <v>11</v>
      </c>
      <c r="G166" t="s">
        <v>12</v>
      </c>
      <c r="H166" t="s">
        <v>57</v>
      </c>
      <c r="I166" t="s">
        <v>14</v>
      </c>
    </row>
    <row r="167" spans="1:9" x14ac:dyDescent="0.25">
      <c r="A167">
        <v>10622</v>
      </c>
      <c r="B167" t="s">
        <v>73</v>
      </c>
      <c r="C167" t="s">
        <v>10</v>
      </c>
      <c r="D167">
        <v>3.49</v>
      </c>
      <c r="E167">
        <v>630.37</v>
      </c>
      <c r="F167" t="s">
        <v>11</v>
      </c>
      <c r="G167" t="s">
        <v>12</v>
      </c>
      <c r="H167" t="s">
        <v>57</v>
      </c>
      <c r="I167" t="s">
        <v>14</v>
      </c>
    </row>
    <row r="168" spans="1:9" x14ac:dyDescent="0.25">
      <c r="A168">
        <v>10623</v>
      </c>
      <c r="B168" t="s">
        <v>73</v>
      </c>
      <c r="C168" t="s">
        <v>15</v>
      </c>
      <c r="D168">
        <v>2.95</v>
      </c>
      <c r="E168">
        <v>745.76</v>
      </c>
      <c r="F168" t="s">
        <v>11</v>
      </c>
      <c r="G168" t="s">
        <v>12</v>
      </c>
      <c r="H168" t="s">
        <v>57</v>
      </c>
      <c r="I168" t="s">
        <v>14</v>
      </c>
    </row>
    <row r="169" spans="1:9" x14ac:dyDescent="0.25">
      <c r="A169">
        <v>10624</v>
      </c>
      <c r="B169" t="s">
        <v>73</v>
      </c>
      <c r="C169" t="s">
        <v>18</v>
      </c>
      <c r="D169">
        <v>4.99</v>
      </c>
      <c r="E169">
        <v>200.4</v>
      </c>
      <c r="F169" t="s">
        <v>11</v>
      </c>
      <c r="G169" t="s">
        <v>12</v>
      </c>
      <c r="H169" t="s">
        <v>57</v>
      </c>
      <c r="I169" t="s">
        <v>14</v>
      </c>
    </row>
    <row r="170" spans="1:9" x14ac:dyDescent="0.25">
      <c r="A170">
        <v>10625</v>
      </c>
      <c r="B170" t="s">
        <v>74</v>
      </c>
      <c r="C170" t="s">
        <v>23</v>
      </c>
      <c r="D170">
        <v>12.99</v>
      </c>
      <c r="E170">
        <v>569.66999999999996</v>
      </c>
      <c r="F170" t="s">
        <v>11</v>
      </c>
      <c r="G170" t="s">
        <v>12</v>
      </c>
      <c r="H170" t="s">
        <v>57</v>
      </c>
      <c r="I170" t="s">
        <v>14</v>
      </c>
    </row>
    <row r="171" spans="1:9" x14ac:dyDescent="0.25">
      <c r="A171">
        <v>10626</v>
      </c>
      <c r="B171" t="s">
        <v>74</v>
      </c>
      <c r="C171" t="s">
        <v>27</v>
      </c>
      <c r="D171">
        <v>9.9499999999999993</v>
      </c>
      <c r="E171">
        <v>201.01</v>
      </c>
      <c r="F171" t="s">
        <v>11</v>
      </c>
      <c r="G171" t="s">
        <v>12</v>
      </c>
      <c r="H171" t="s">
        <v>57</v>
      </c>
      <c r="I171" t="s">
        <v>14</v>
      </c>
    </row>
    <row r="172" spans="1:9" x14ac:dyDescent="0.25">
      <c r="A172">
        <v>10627</v>
      </c>
      <c r="B172" t="s">
        <v>74</v>
      </c>
      <c r="C172" t="s">
        <v>10</v>
      </c>
      <c r="D172">
        <v>3.49</v>
      </c>
      <c r="E172">
        <v>630.37</v>
      </c>
      <c r="F172" t="s">
        <v>11</v>
      </c>
      <c r="G172" t="s">
        <v>12</v>
      </c>
      <c r="H172" t="s">
        <v>57</v>
      </c>
      <c r="I172" t="s">
        <v>14</v>
      </c>
    </row>
    <row r="173" spans="1:9" x14ac:dyDescent="0.25">
      <c r="A173">
        <v>10628</v>
      </c>
      <c r="B173" t="s">
        <v>74</v>
      </c>
      <c r="C173" t="s">
        <v>15</v>
      </c>
      <c r="D173">
        <v>2.95</v>
      </c>
      <c r="E173">
        <v>677.97</v>
      </c>
      <c r="F173" t="s">
        <v>11</v>
      </c>
      <c r="G173" t="s">
        <v>12</v>
      </c>
      <c r="H173" t="s">
        <v>42</v>
      </c>
      <c r="I173" t="s">
        <v>21</v>
      </c>
    </row>
    <row r="174" spans="1:9" x14ac:dyDescent="0.25">
      <c r="A174">
        <v>10629</v>
      </c>
      <c r="B174" t="s">
        <v>74</v>
      </c>
      <c r="C174" t="s">
        <v>18</v>
      </c>
      <c r="D174">
        <v>4.99</v>
      </c>
      <c r="E174">
        <v>200.4</v>
      </c>
      <c r="F174" t="s">
        <v>11</v>
      </c>
      <c r="G174" t="s">
        <v>12</v>
      </c>
      <c r="H174" t="s">
        <v>42</v>
      </c>
      <c r="I174" t="s">
        <v>21</v>
      </c>
    </row>
    <row r="175" spans="1:9" x14ac:dyDescent="0.25">
      <c r="A175">
        <v>10630</v>
      </c>
      <c r="B175" t="s">
        <v>75</v>
      </c>
      <c r="C175" t="s">
        <v>23</v>
      </c>
      <c r="D175">
        <v>12.99</v>
      </c>
      <c r="E175">
        <v>569.66999999999996</v>
      </c>
      <c r="F175" t="s">
        <v>11</v>
      </c>
      <c r="G175" t="s">
        <v>50</v>
      </c>
      <c r="H175" t="s">
        <v>42</v>
      </c>
      <c r="I175" t="s">
        <v>21</v>
      </c>
    </row>
    <row r="176" spans="1:9" x14ac:dyDescent="0.25">
      <c r="A176">
        <v>10631</v>
      </c>
      <c r="B176" t="s">
        <v>75</v>
      </c>
      <c r="C176" t="s">
        <v>27</v>
      </c>
      <c r="D176">
        <v>9.9499999999999993</v>
      </c>
      <c r="E176">
        <v>201.01</v>
      </c>
      <c r="F176" t="s">
        <v>11</v>
      </c>
      <c r="G176" t="s">
        <v>12</v>
      </c>
      <c r="H176" t="s">
        <v>42</v>
      </c>
      <c r="I176" t="s">
        <v>21</v>
      </c>
    </row>
    <row r="177" spans="1:9" x14ac:dyDescent="0.25">
      <c r="A177">
        <v>10632</v>
      </c>
      <c r="B177" t="s">
        <v>75</v>
      </c>
      <c r="C177" t="s">
        <v>10</v>
      </c>
      <c r="D177">
        <v>3.49</v>
      </c>
      <c r="E177">
        <v>630.37</v>
      </c>
      <c r="F177" t="s">
        <v>11</v>
      </c>
      <c r="G177" t="s">
        <v>12</v>
      </c>
      <c r="H177" t="s">
        <v>42</v>
      </c>
      <c r="I177" t="s">
        <v>21</v>
      </c>
    </row>
    <row r="178" spans="1:9" x14ac:dyDescent="0.25">
      <c r="A178">
        <v>10633</v>
      </c>
      <c r="B178" t="s">
        <v>75</v>
      </c>
      <c r="C178" t="s">
        <v>15</v>
      </c>
      <c r="D178">
        <v>2.95</v>
      </c>
      <c r="E178">
        <v>677.97</v>
      </c>
      <c r="F178" t="s">
        <v>11</v>
      </c>
      <c r="G178" t="s">
        <v>12</v>
      </c>
      <c r="H178" t="s">
        <v>42</v>
      </c>
      <c r="I178" t="s">
        <v>21</v>
      </c>
    </row>
    <row r="179" spans="1:9" x14ac:dyDescent="0.25">
      <c r="A179">
        <v>10634</v>
      </c>
      <c r="B179" t="s">
        <v>75</v>
      </c>
      <c r="C179" t="s">
        <v>18</v>
      </c>
      <c r="D179">
        <v>4.99</v>
      </c>
      <c r="E179">
        <v>200.4</v>
      </c>
      <c r="F179" t="s">
        <v>11</v>
      </c>
      <c r="G179" t="s">
        <v>12</v>
      </c>
      <c r="H179" t="s">
        <v>42</v>
      </c>
      <c r="I179" t="s">
        <v>21</v>
      </c>
    </row>
    <row r="180" spans="1:9" x14ac:dyDescent="0.25">
      <c r="A180">
        <v>10635</v>
      </c>
      <c r="B180" t="s">
        <v>76</v>
      </c>
      <c r="C180" t="s">
        <v>23</v>
      </c>
      <c r="D180">
        <v>12.99</v>
      </c>
      <c r="E180">
        <v>554.27</v>
      </c>
      <c r="F180" t="s">
        <v>11</v>
      </c>
      <c r="G180" t="s">
        <v>12</v>
      </c>
      <c r="H180" t="s">
        <v>42</v>
      </c>
      <c r="I180" t="s">
        <v>21</v>
      </c>
    </row>
    <row r="181" spans="1:9" x14ac:dyDescent="0.25">
      <c r="A181">
        <v>10636</v>
      </c>
      <c r="B181" t="s">
        <v>76</v>
      </c>
      <c r="C181" t="s">
        <v>27</v>
      </c>
      <c r="D181">
        <v>9.9499999999999993</v>
      </c>
      <c r="E181">
        <v>221.11</v>
      </c>
      <c r="F181" t="s">
        <v>11</v>
      </c>
      <c r="G181" t="s">
        <v>12</v>
      </c>
      <c r="H181" t="s">
        <v>42</v>
      </c>
      <c r="I181" t="s">
        <v>21</v>
      </c>
    </row>
    <row r="182" spans="1:9" x14ac:dyDescent="0.25">
      <c r="A182">
        <v>10637</v>
      </c>
      <c r="B182" t="s">
        <v>76</v>
      </c>
      <c r="C182" t="s">
        <v>10</v>
      </c>
      <c r="D182">
        <v>3.49</v>
      </c>
      <c r="E182">
        <v>630.37</v>
      </c>
      <c r="F182" t="s">
        <v>11</v>
      </c>
      <c r="G182" t="s">
        <v>12</v>
      </c>
      <c r="H182" t="s">
        <v>42</v>
      </c>
      <c r="I182" t="s">
        <v>21</v>
      </c>
    </row>
    <row r="183" spans="1:9" x14ac:dyDescent="0.25">
      <c r="A183">
        <v>10638</v>
      </c>
      <c r="B183" t="s">
        <v>76</v>
      </c>
      <c r="C183" t="s">
        <v>15</v>
      </c>
      <c r="D183">
        <v>2.95</v>
      </c>
      <c r="E183">
        <v>677.97</v>
      </c>
      <c r="F183" t="s">
        <v>11</v>
      </c>
      <c r="G183" t="s">
        <v>12</v>
      </c>
      <c r="H183" t="s">
        <v>42</v>
      </c>
      <c r="I183" t="s">
        <v>21</v>
      </c>
    </row>
    <row r="184" spans="1:9" x14ac:dyDescent="0.25">
      <c r="A184">
        <v>10639</v>
      </c>
      <c r="B184" t="s">
        <v>76</v>
      </c>
      <c r="C184" t="s">
        <v>18</v>
      </c>
      <c r="D184">
        <v>4.99</v>
      </c>
      <c r="E184">
        <v>200.4</v>
      </c>
      <c r="F184" t="s">
        <v>11</v>
      </c>
      <c r="G184" t="s">
        <v>12</v>
      </c>
      <c r="H184" t="s">
        <v>42</v>
      </c>
      <c r="I184" t="s">
        <v>21</v>
      </c>
    </row>
    <row r="185" spans="1:9" x14ac:dyDescent="0.25">
      <c r="A185">
        <v>10640</v>
      </c>
      <c r="B185" t="s">
        <v>77</v>
      </c>
      <c r="C185" t="s">
        <v>23</v>
      </c>
      <c r="D185">
        <v>12.99</v>
      </c>
      <c r="E185">
        <v>538.88</v>
      </c>
      <c r="F185" t="s">
        <v>11</v>
      </c>
      <c r="G185" t="s">
        <v>12</v>
      </c>
      <c r="H185" t="s">
        <v>42</v>
      </c>
      <c r="I185" t="s">
        <v>21</v>
      </c>
    </row>
    <row r="186" spans="1:9" x14ac:dyDescent="0.25">
      <c r="A186">
        <v>10641</v>
      </c>
      <c r="B186" t="s">
        <v>77</v>
      </c>
      <c r="C186" t="s">
        <v>27</v>
      </c>
      <c r="D186">
        <v>9.9499999999999993</v>
      </c>
      <c r="E186">
        <v>221.11</v>
      </c>
      <c r="F186" t="s">
        <v>11</v>
      </c>
      <c r="G186" t="s">
        <v>12</v>
      </c>
      <c r="H186" t="s">
        <v>42</v>
      </c>
      <c r="I186" t="s">
        <v>21</v>
      </c>
    </row>
    <row r="187" spans="1:9" x14ac:dyDescent="0.25">
      <c r="A187">
        <v>10642</v>
      </c>
      <c r="B187" t="s">
        <v>77</v>
      </c>
      <c r="C187" t="s">
        <v>10</v>
      </c>
      <c r="D187">
        <v>3.49</v>
      </c>
      <c r="E187">
        <v>630.37</v>
      </c>
      <c r="F187" t="s">
        <v>11</v>
      </c>
      <c r="G187" t="s">
        <v>50</v>
      </c>
      <c r="H187" t="s">
        <v>42</v>
      </c>
      <c r="I187" t="s">
        <v>21</v>
      </c>
    </row>
    <row r="188" spans="1:9" x14ac:dyDescent="0.25">
      <c r="A188">
        <v>10643</v>
      </c>
      <c r="B188" t="s">
        <v>77</v>
      </c>
      <c r="C188" t="s">
        <v>15</v>
      </c>
      <c r="D188">
        <v>2.95</v>
      </c>
      <c r="E188">
        <v>677.97</v>
      </c>
      <c r="F188" t="s">
        <v>11</v>
      </c>
      <c r="G188" t="s">
        <v>50</v>
      </c>
      <c r="H188" t="s">
        <v>42</v>
      </c>
      <c r="I188" t="s">
        <v>21</v>
      </c>
    </row>
    <row r="189" spans="1:9" x14ac:dyDescent="0.25">
      <c r="A189">
        <v>10644</v>
      </c>
      <c r="B189" t="s">
        <v>77</v>
      </c>
      <c r="C189" t="s">
        <v>18</v>
      </c>
      <c r="D189">
        <v>4.99</v>
      </c>
      <c r="E189">
        <v>200.4</v>
      </c>
      <c r="F189" t="s">
        <v>11</v>
      </c>
      <c r="G189" t="s">
        <v>50</v>
      </c>
      <c r="H189" t="s">
        <v>42</v>
      </c>
      <c r="I189" t="s">
        <v>21</v>
      </c>
    </row>
    <row r="190" spans="1:9" x14ac:dyDescent="0.25">
      <c r="A190">
        <v>10645</v>
      </c>
      <c r="B190" t="s">
        <v>78</v>
      </c>
      <c r="C190" t="s">
        <v>23</v>
      </c>
      <c r="D190">
        <v>12.99</v>
      </c>
      <c r="E190">
        <v>569.66999999999996</v>
      </c>
      <c r="F190" t="s">
        <v>11</v>
      </c>
      <c r="G190" t="s">
        <v>50</v>
      </c>
      <c r="H190" t="s">
        <v>42</v>
      </c>
      <c r="I190" t="s">
        <v>21</v>
      </c>
    </row>
    <row r="191" spans="1:9" x14ac:dyDescent="0.25">
      <c r="A191">
        <v>10646</v>
      </c>
      <c r="B191" t="s">
        <v>78</v>
      </c>
      <c r="C191" t="s">
        <v>27</v>
      </c>
      <c r="D191">
        <v>9.9499999999999993</v>
      </c>
      <c r="E191">
        <v>221.11</v>
      </c>
      <c r="F191" t="s">
        <v>11</v>
      </c>
      <c r="G191" t="s">
        <v>50</v>
      </c>
      <c r="H191" t="s">
        <v>42</v>
      </c>
      <c r="I191" t="s">
        <v>21</v>
      </c>
    </row>
    <row r="192" spans="1:9" x14ac:dyDescent="0.25">
      <c r="A192">
        <v>10647</v>
      </c>
      <c r="B192" t="s">
        <v>78</v>
      </c>
      <c r="C192" t="s">
        <v>10</v>
      </c>
      <c r="D192">
        <v>3.49</v>
      </c>
      <c r="E192">
        <v>630.37</v>
      </c>
      <c r="F192" t="s">
        <v>11</v>
      </c>
      <c r="G192" t="s">
        <v>12</v>
      </c>
      <c r="H192" t="s">
        <v>42</v>
      </c>
      <c r="I192" t="s">
        <v>21</v>
      </c>
    </row>
    <row r="193" spans="1:9" x14ac:dyDescent="0.25">
      <c r="A193">
        <v>10648</v>
      </c>
      <c r="B193" t="s">
        <v>78</v>
      </c>
      <c r="C193" t="s">
        <v>15</v>
      </c>
      <c r="D193">
        <v>2.95</v>
      </c>
      <c r="E193">
        <v>745.76</v>
      </c>
      <c r="F193" t="s">
        <v>11</v>
      </c>
      <c r="G193" t="s">
        <v>12</v>
      </c>
      <c r="H193" t="s">
        <v>42</v>
      </c>
      <c r="I193" t="s">
        <v>21</v>
      </c>
    </row>
    <row r="194" spans="1:9" x14ac:dyDescent="0.25">
      <c r="A194">
        <v>10649</v>
      </c>
      <c r="B194" t="s">
        <v>78</v>
      </c>
      <c r="C194" t="s">
        <v>18</v>
      </c>
      <c r="D194">
        <v>4.99</v>
      </c>
      <c r="E194">
        <v>200.4</v>
      </c>
      <c r="F194" t="s">
        <v>11</v>
      </c>
      <c r="G194" t="s">
        <v>12</v>
      </c>
      <c r="H194" t="s">
        <v>42</v>
      </c>
      <c r="I194" t="s">
        <v>21</v>
      </c>
    </row>
    <row r="195" spans="1:9" x14ac:dyDescent="0.25">
      <c r="A195">
        <v>10650</v>
      </c>
      <c r="B195" t="s">
        <v>79</v>
      </c>
      <c r="C195" t="s">
        <v>23</v>
      </c>
      <c r="D195">
        <v>12.99</v>
      </c>
      <c r="E195">
        <v>585.07000000000005</v>
      </c>
      <c r="F195" t="s">
        <v>11</v>
      </c>
      <c r="G195" t="s">
        <v>12</v>
      </c>
      <c r="H195" t="s">
        <v>42</v>
      </c>
      <c r="I195" t="s">
        <v>21</v>
      </c>
    </row>
    <row r="196" spans="1:9" x14ac:dyDescent="0.25">
      <c r="A196">
        <v>10651</v>
      </c>
      <c r="B196" t="s">
        <v>79</v>
      </c>
      <c r="C196" t="s">
        <v>27</v>
      </c>
      <c r="D196">
        <v>9.9499999999999993</v>
      </c>
      <c r="E196">
        <v>221.11</v>
      </c>
      <c r="F196" t="s">
        <v>11</v>
      </c>
      <c r="G196" t="s">
        <v>12</v>
      </c>
      <c r="H196" t="s">
        <v>42</v>
      </c>
      <c r="I196" t="s">
        <v>21</v>
      </c>
    </row>
    <row r="197" spans="1:9" x14ac:dyDescent="0.25">
      <c r="A197">
        <v>10652</v>
      </c>
      <c r="B197" t="s">
        <v>79</v>
      </c>
      <c r="C197" t="s">
        <v>10</v>
      </c>
      <c r="D197">
        <v>3.49</v>
      </c>
      <c r="E197">
        <v>687.68</v>
      </c>
      <c r="F197" t="s">
        <v>11</v>
      </c>
      <c r="G197" t="s">
        <v>12</v>
      </c>
      <c r="H197" t="s">
        <v>42</v>
      </c>
      <c r="I197" t="s">
        <v>21</v>
      </c>
    </row>
    <row r="198" spans="1:9" x14ac:dyDescent="0.25">
      <c r="A198">
        <v>10653</v>
      </c>
      <c r="B198" t="s">
        <v>79</v>
      </c>
      <c r="C198" t="s">
        <v>15</v>
      </c>
      <c r="D198">
        <v>2.95</v>
      </c>
      <c r="E198">
        <v>745.76</v>
      </c>
      <c r="F198" t="s">
        <v>11</v>
      </c>
      <c r="G198" t="s">
        <v>12</v>
      </c>
      <c r="H198" t="s">
        <v>42</v>
      </c>
      <c r="I198" t="s">
        <v>21</v>
      </c>
    </row>
    <row r="199" spans="1:9" x14ac:dyDescent="0.25">
      <c r="A199">
        <v>10654</v>
      </c>
      <c r="B199" t="s">
        <v>79</v>
      </c>
      <c r="C199" t="s">
        <v>18</v>
      </c>
      <c r="D199">
        <v>4.99</v>
      </c>
      <c r="E199">
        <v>200.4</v>
      </c>
      <c r="F199" t="s">
        <v>11</v>
      </c>
      <c r="G199" t="s">
        <v>12</v>
      </c>
      <c r="H199" t="s">
        <v>42</v>
      </c>
      <c r="I199" t="s">
        <v>21</v>
      </c>
    </row>
    <row r="200" spans="1:9" x14ac:dyDescent="0.25">
      <c r="A200">
        <v>10655</v>
      </c>
      <c r="B200" t="s">
        <v>80</v>
      </c>
      <c r="C200" t="s">
        <v>23</v>
      </c>
      <c r="D200">
        <v>12.99</v>
      </c>
      <c r="E200">
        <v>600.46</v>
      </c>
      <c r="F200" t="s">
        <v>11</v>
      </c>
      <c r="G200" t="s">
        <v>12</v>
      </c>
      <c r="H200" t="s">
        <v>42</v>
      </c>
      <c r="I200" t="s">
        <v>21</v>
      </c>
    </row>
    <row r="201" spans="1:9" x14ac:dyDescent="0.25">
      <c r="A201">
        <v>10656</v>
      </c>
      <c r="B201" t="s">
        <v>80</v>
      </c>
      <c r="C201" t="s">
        <v>27</v>
      </c>
      <c r="D201">
        <v>9.9499999999999993</v>
      </c>
      <c r="E201">
        <v>221.11</v>
      </c>
      <c r="F201" t="s">
        <v>11</v>
      </c>
      <c r="G201" t="s">
        <v>12</v>
      </c>
      <c r="H201" t="s">
        <v>42</v>
      </c>
      <c r="I201" t="s">
        <v>21</v>
      </c>
    </row>
    <row r="202" spans="1:9" x14ac:dyDescent="0.25">
      <c r="A202">
        <v>10657</v>
      </c>
      <c r="B202" t="s">
        <v>80</v>
      </c>
      <c r="C202" t="s">
        <v>10</v>
      </c>
      <c r="D202">
        <v>3.49</v>
      </c>
      <c r="E202">
        <v>687.68</v>
      </c>
      <c r="F202" t="s">
        <v>11</v>
      </c>
      <c r="G202" t="s">
        <v>12</v>
      </c>
      <c r="H202" t="s">
        <v>42</v>
      </c>
      <c r="I202" t="s">
        <v>21</v>
      </c>
    </row>
    <row r="203" spans="1:9" x14ac:dyDescent="0.25">
      <c r="A203">
        <v>10658</v>
      </c>
      <c r="B203" t="s">
        <v>80</v>
      </c>
      <c r="C203" t="s">
        <v>15</v>
      </c>
      <c r="D203">
        <v>2.95</v>
      </c>
      <c r="E203">
        <v>745.76</v>
      </c>
      <c r="F203" t="s">
        <v>11</v>
      </c>
      <c r="G203" t="s">
        <v>50</v>
      </c>
      <c r="H203" t="s">
        <v>42</v>
      </c>
      <c r="I203" t="s">
        <v>21</v>
      </c>
    </row>
    <row r="204" spans="1:9" x14ac:dyDescent="0.25">
      <c r="A204">
        <v>10659</v>
      </c>
      <c r="B204" t="s">
        <v>80</v>
      </c>
      <c r="C204" t="s">
        <v>18</v>
      </c>
      <c r="D204">
        <v>4.99</v>
      </c>
      <c r="E204">
        <v>200.4</v>
      </c>
      <c r="F204" t="s">
        <v>11</v>
      </c>
      <c r="G204" t="s">
        <v>50</v>
      </c>
      <c r="H204" t="s">
        <v>42</v>
      </c>
      <c r="I204" t="s">
        <v>21</v>
      </c>
    </row>
    <row r="205" spans="1:9" x14ac:dyDescent="0.25">
      <c r="A205">
        <v>10660</v>
      </c>
      <c r="B205" t="s">
        <v>81</v>
      </c>
      <c r="C205" t="s">
        <v>23</v>
      </c>
      <c r="D205">
        <v>12.99</v>
      </c>
      <c r="E205">
        <v>631.25</v>
      </c>
      <c r="F205" t="s">
        <v>19</v>
      </c>
      <c r="G205" t="s">
        <v>50</v>
      </c>
      <c r="H205" t="s">
        <v>42</v>
      </c>
      <c r="I205" t="s">
        <v>21</v>
      </c>
    </row>
    <row r="206" spans="1:9" x14ac:dyDescent="0.25">
      <c r="A206">
        <v>10661</v>
      </c>
      <c r="B206" t="s">
        <v>81</v>
      </c>
      <c r="C206" t="s">
        <v>27</v>
      </c>
      <c r="D206">
        <v>9.9499999999999993</v>
      </c>
      <c r="E206">
        <v>221.11</v>
      </c>
      <c r="F206" t="s">
        <v>19</v>
      </c>
      <c r="G206" t="s">
        <v>50</v>
      </c>
      <c r="H206" t="s">
        <v>42</v>
      </c>
      <c r="I206" t="s">
        <v>21</v>
      </c>
    </row>
    <row r="207" spans="1:9" x14ac:dyDescent="0.25">
      <c r="A207">
        <v>10662</v>
      </c>
      <c r="B207" t="s">
        <v>81</v>
      </c>
      <c r="C207" t="s">
        <v>10</v>
      </c>
      <c r="D207">
        <v>3.49</v>
      </c>
      <c r="E207">
        <v>630.37</v>
      </c>
      <c r="F207" t="s">
        <v>19</v>
      </c>
      <c r="G207" t="s">
        <v>50</v>
      </c>
      <c r="H207" t="s">
        <v>42</v>
      </c>
      <c r="I207" t="s">
        <v>21</v>
      </c>
    </row>
    <row r="208" spans="1:9" x14ac:dyDescent="0.25">
      <c r="A208">
        <v>10663</v>
      </c>
      <c r="B208" t="s">
        <v>81</v>
      </c>
      <c r="C208" t="s">
        <v>15</v>
      </c>
      <c r="D208">
        <v>2.95</v>
      </c>
      <c r="E208">
        <v>745.76</v>
      </c>
      <c r="F208" t="s">
        <v>19</v>
      </c>
      <c r="G208" t="s">
        <v>50</v>
      </c>
      <c r="H208" t="s">
        <v>42</v>
      </c>
      <c r="I208" t="s">
        <v>21</v>
      </c>
    </row>
    <row r="209" spans="1:9" x14ac:dyDescent="0.25">
      <c r="A209">
        <v>10664</v>
      </c>
      <c r="B209" t="s">
        <v>81</v>
      </c>
      <c r="C209" t="s">
        <v>18</v>
      </c>
      <c r="D209">
        <v>4.99</v>
      </c>
      <c r="E209">
        <v>200.4</v>
      </c>
      <c r="F209" t="s">
        <v>19</v>
      </c>
      <c r="G209" t="s">
        <v>50</v>
      </c>
      <c r="H209" t="s">
        <v>42</v>
      </c>
      <c r="I209" t="s">
        <v>21</v>
      </c>
    </row>
    <row r="210" spans="1:9" x14ac:dyDescent="0.25">
      <c r="A210">
        <v>10665</v>
      </c>
      <c r="B210" t="s">
        <v>82</v>
      </c>
      <c r="C210" t="s">
        <v>23</v>
      </c>
      <c r="D210">
        <v>12.99</v>
      </c>
      <c r="E210">
        <v>646.65</v>
      </c>
      <c r="F210" t="s">
        <v>19</v>
      </c>
      <c r="G210" t="s">
        <v>50</v>
      </c>
      <c r="H210" t="s">
        <v>42</v>
      </c>
      <c r="I210" t="s">
        <v>21</v>
      </c>
    </row>
    <row r="211" spans="1:9" x14ac:dyDescent="0.25">
      <c r="A211">
        <v>10666</v>
      </c>
      <c r="B211" t="s">
        <v>82</v>
      </c>
      <c r="C211" t="s">
        <v>27</v>
      </c>
      <c r="D211">
        <v>9.9499999999999993</v>
      </c>
      <c r="E211">
        <v>221.11</v>
      </c>
      <c r="F211" t="s">
        <v>19</v>
      </c>
      <c r="G211" t="s">
        <v>50</v>
      </c>
      <c r="H211" t="s">
        <v>42</v>
      </c>
      <c r="I211" t="s">
        <v>21</v>
      </c>
    </row>
    <row r="212" spans="1:9" x14ac:dyDescent="0.25">
      <c r="A212">
        <v>10667</v>
      </c>
      <c r="B212" t="s">
        <v>82</v>
      </c>
      <c r="C212" t="s">
        <v>10</v>
      </c>
      <c r="D212">
        <v>3.49</v>
      </c>
      <c r="E212">
        <v>630.37</v>
      </c>
      <c r="F212" t="s">
        <v>19</v>
      </c>
      <c r="G212" t="s">
        <v>50</v>
      </c>
      <c r="H212" t="s">
        <v>42</v>
      </c>
      <c r="I212" t="s">
        <v>21</v>
      </c>
    </row>
    <row r="213" spans="1:9" x14ac:dyDescent="0.25">
      <c r="A213">
        <v>10668</v>
      </c>
      <c r="B213" t="s">
        <v>82</v>
      </c>
      <c r="C213" t="s">
        <v>15</v>
      </c>
      <c r="D213">
        <v>2.95</v>
      </c>
      <c r="E213">
        <v>745.76</v>
      </c>
      <c r="F213" t="s">
        <v>19</v>
      </c>
      <c r="G213" t="s">
        <v>50</v>
      </c>
      <c r="H213" t="s">
        <v>42</v>
      </c>
      <c r="I213" t="s">
        <v>21</v>
      </c>
    </row>
    <row r="214" spans="1:9" x14ac:dyDescent="0.25">
      <c r="A214">
        <v>10669</v>
      </c>
      <c r="B214" t="s">
        <v>82</v>
      </c>
      <c r="C214" t="s">
        <v>18</v>
      </c>
      <c r="D214">
        <v>4.99</v>
      </c>
      <c r="E214">
        <v>200.4</v>
      </c>
      <c r="F214" t="s">
        <v>19</v>
      </c>
      <c r="G214" t="s">
        <v>50</v>
      </c>
      <c r="H214" t="s">
        <v>42</v>
      </c>
      <c r="I214" t="s">
        <v>21</v>
      </c>
    </row>
    <row r="215" spans="1:9" x14ac:dyDescent="0.25">
      <c r="A215">
        <v>10670</v>
      </c>
      <c r="B215" t="s">
        <v>83</v>
      </c>
      <c r="C215" t="s">
        <v>23</v>
      </c>
      <c r="D215">
        <v>12.99</v>
      </c>
      <c r="E215">
        <v>677.44</v>
      </c>
      <c r="F215" t="s">
        <v>19</v>
      </c>
      <c r="G215" t="s">
        <v>50</v>
      </c>
      <c r="H215" t="s">
        <v>42</v>
      </c>
      <c r="I215" t="s">
        <v>21</v>
      </c>
    </row>
    <row r="216" spans="1:9" x14ac:dyDescent="0.25">
      <c r="A216">
        <v>10671</v>
      </c>
      <c r="B216" t="s">
        <v>83</v>
      </c>
      <c r="C216" t="s">
        <v>27</v>
      </c>
      <c r="D216">
        <v>9.9499999999999993</v>
      </c>
      <c r="E216">
        <v>221.11</v>
      </c>
      <c r="F216" t="s">
        <v>19</v>
      </c>
      <c r="G216" t="s">
        <v>50</v>
      </c>
      <c r="H216" t="s">
        <v>42</v>
      </c>
      <c r="I216" t="s">
        <v>21</v>
      </c>
    </row>
    <row r="217" spans="1:9" x14ac:dyDescent="0.25">
      <c r="A217">
        <v>10672</v>
      </c>
      <c r="B217" t="s">
        <v>83</v>
      </c>
      <c r="C217" t="s">
        <v>10</v>
      </c>
      <c r="D217">
        <v>3.49</v>
      </c>
      <c r="E217">
        <v>630.37</v>
      </c>
      <c r="F217" t="s">
        <v>19</v>
      </c>
      <c r="G217" t="s">
        <v>50</v>
      </c>
      <c r="H217" t="s">
        <v>42</v>
      </c>
      <c r="I217" t="s">
        <v>21</v>
      </c>
    </row>
    <row r="218" spans="1:9" x14ac:dyDescent="0.25">
      <c r="A218">
        <v>10673</v>
      </c>
      <c r="B218" t="s">
        <v>83</v>
      </c>
      <c r="C218" t="s">
        <v>15</v>
      </c>
      <c r="D218">
        <v>2.95</v>
      </c>
      <c r="E218">
        <v>745.76</v>
      </c>
      <c r="F218" t="s">
        <v>19</v>
      </c>
      <c r="G218" t="s">
        <v>50</v>
      </c>
      <c r="H218" t="s">
        <v>42</v>
      </c>
      <c r="I218" t="s">
        <v>21</v>
      </c>
    </row>
    <row r="219" spans="1:9" x14ac:dyDescent="0.25">
      <c r="A219">
        <v>10674</v>
      </c>
      <c r="B219" t="s">
        <v>83</v>
      </c>
      <c r="C219" t="s">
        <v>18</v>
      </c>
      <c r="D219">
        <v>4.99</v>
      </c>
      <c r="E219">
        <v>200.4</v>
      </c>
      <c r="F219" t="s">
        <v>19</v>
      </c>
      <c r="G219" t="s">
        <v>50</v>
      </c>
      <c r="H219" t="s">
        <v>42</v>
      </c>
      <c r="I219" t="s">
        <v>21</v>
      </c>
    </row>
    <row r="220" spans="1:9" x14ac:dyDescent="0.25">
      <c r="A220">
        <v>10675</v>
      </c>
      <c r="B220" t="s">
        <v>84</v>
      </c>
      <c r="C220" t="s">
        <v>23</v>
      </c>
      <c r="D220">
        <v>12.99</v>
      </c>
      <c r="E220">
        <v>677.44</v>
      </c>
      <c r="F220" t="s">
        <v>19</v>
      </c>
      <c r="G220" t="s">
        <v>50</v>
      </c>
      <c r="H220" t="s">
        <v>42</v>
      </c>
      <c r="I220" t="s">
        <v>21</v>
      </c>
    </row>
    <row r="221" spans="1:9" x14ac:dyDescent="0.25">
      <c r="A221">
        <v>10676</v>
      </c>
      <c r="B221" t="s">
        <v>84</v>
      </c>
      <c r="C221" t="s">
        <v>27</v>
      </c>
      <c r="D221">
        <v>9.9499999999999993</v>
      </c>
      <c r="E221">
        <v>241.21</v>
      </c>
      <c r="F221" t="s">
        <v>19</v>
      </c>
      <c r="G221" t="s">
        <v>50</v>
      </c>
      <c r="H221" t="s">
        <v>42</v>
      </c>
      <c r="I221" t="s">
        <v>21</v>
      </c>
    </row>
    <row r="222" spans="1:9" x14ac:dyDescent="0.25">
      <c r="A222">
        <v>10677</v>
      </c>
      <c r="B222" t="s">
        <v>84</v>
      </c>
      <c r="C222" t="s">
        <v>10</v>
      </c>
      <c r="D222">
        <v>3.49</v>
      </c>
      <c r="E222">
        <v>630.37</v>
      </c>
      <c r="F222" t="s">
        <v>19</v>
      </c>
      <c r="G222" t="s">
        <v>50</v>
      </c>
      <c r="H222" t="s">
        <v>42</v>
      </c>
      <c r="I222" t="s">
        <v>21</v>
      </c>
    </row>
    <row r="223" spans="1:9" x14ac:dyDescent="0.25">
      <c r="A223">
        <v>10678</v>
      </c>
      <c r="B223" t="s">
        <v>84</v>
      </c>
      <c r="C223" t="s">
        <v>15</v>
      </c>
      <c r="D223">
        <v>2.95</v>
      </c>
      <c r="E223">
        <v>745.76</v>
      </c>
      <c r="F223" t="s">
        <v>19</v>
      </c>
      <c r="G223" t="s">
        <v>50</v>
      </c>
      <c r="H223" t="s">
        <v>42</v>
      </c>
      <c r="I223" t="s">
        <v>21</v>
      </c>
    </row>
    <row r="224" spans="1:9" x14ac:dyDescent="0.25">
      <c r="A224">
        <v>10679</v>
      </c>
      <c r="B224" t="s">
        <v>84</v>
      </c>
      <c r="C224" t="s">
        <v>18</v>
      </c>
      <c r="D224">
        <v>4.99</v>
      </c>
      <c r="E224">
        <v>200.4</v>
      </c>
      <c r="F224" t="s">
        <v>19</v>
      </c>
      <c r="G224" t="s">
        <v>50</v>
      </c>
      <c r="H224" t="s">
        <v>42</v>
      </c>
      <c r="I224" t="s">
        <v>21</v>
      </c>
    </row>
    <row r="225" spans="1:9" x14ac:dyDescent="0.25">
      <c r="A225">
        <v>10680</v>
      </c>
      <c r="B225" t="s">
        <v>85</v>
      </c>
      <c r="C225" t="s">
        <v>23</v>
      </c>
      <c r="D225">
        <v>12.99</v>
      </c>
      <c r="E225">
        <v>646.65</v>
      </c>
      <c r="F225" t="s">
        <v>19</v>
      </c>
      <c r="G225" t="s">
        <v>50</v>
      </c>
      <c r="H225" t="s">
        <v>42</v>
      </c>
      <c r="I225" t="s">
        <v>21</v>
      </c>
    </row>
    <row r="226" spans="1:9" x14ac:dyDescent="0.25">
      <c r="A226">
        <v>10681</v>
      </c>
      <c r="B226" t="s">
        <v>85</v>
      </c>
      <c r="C226" t="s">
        <v>27</v>
      </c>
      <c r="D226">
        <v>9.9499999999999993</v>
      </c>
      <c r="E226">
        <v>241.21</v>
      </c>
      <c r="F226" t="s">
        <v>19</v>
      </c>
      <c r="G226" t="s">
        <v>50</v>
      </c>
      <c r="H226" t="s">
        <v>42</v>
      </c>
      <c r="I226" t="s">
        <v>21</v>
      </c>
    </row>
    <row r="227" spans="1:9" x14ac:dyDescent="0.25">
      <c r="A227">
        <v>10682</v>
      </c>
      <c r="B227" t="s">
        <v>85</v>
      </c>
      <c r="C227" t="s">
        <v>10</v>
      </c>
      <c r="D227">
        <v>3.49</v>
      </c>
      <c r="E227">
        <v>630.37</v>
      </c>
      <c r="F227" t="s">
        <v>19</v>
      </c>
      <c r="G227" t="s">
        <v>50</v>
      </c>
      <c r="H227" t="s">
        <v>42</v>
      </c>
      <c r="I227" t="s">
        <v>21</v>
      </c>
    </row>
    <row r="228" spans="1:9" x14ac:dyDescent="0.25">
      <c r="A228">
        <v>10683</v>
      </c>
      <c r="B228" t="s">
        <v>85</v>
      </c>
      <c r="C228" t="s">
        <v>15</v>
      </c>
      <c r="D228">
        <v>2.95</v>
      </c>
      <c r="E228">
        <v>677.97</v>
      </c>
      <c r="F228" t="s">
        <v>19</v>
      </c>
      <c r="G228" t="s">
        <v>50</v>
      </c>
      <c r="H228" t="s">
        <v>42</v>
      </c>
      <c r="I228" t="s">
        <v>21</v>
      </c>
    </row>
    <row r="229" spans="1:9" x14ac:dyDescent="0.25">
      <c r="A229">
        <v>10684</v>
      </c>
      <c r="B229" t="s">
        <v>85</v>
      </c>
      <c r="C229" t="s">
        <v>18</v>
      </c>
      <c r="D229">
        <v>4.99</v>
      </c>
      <c r="E229">
        <v>200.4</v>
      </c>
      <c r="F229" t="s">
        <v>19</v>
      </c>
      <c r="G229" t="s">
        <v>50</v>
      </c>
      <c r="H229" t="s">
        <v>42</v>
      </c>
      <c r="I229" t="s">
        <v>21</v>
      </c>
    </row>
    <row r="230" spans="1:9" x14ac:dyDescent="0.25">
      <c r="A230">
        <v>10685</v>
      </c>
      <c r="B230" t="s">
        <v>86</v>
      </c>
      <c r="C230" t="s">
        <v>23</v>
      </c>
      <c r="D230">
        <v>12.99</v>
      </c>
      <c r="E230">
        <v>677.44</v>
      </c>
      <c r="F230" t="s">
        <v>19</v>
      </c>
      <c r="G230" t="s">
        <v>50</v>
      </c>
      <c r="H230" t="s">
        <v>42</v>
      </c>
      <c r="I230" t="s">
        <v>21</v>
      </c>
    </row>
    <row r="231" spans="1:9" x14ac:dyDescent="0.25">
      <c r="A231">
        <v>10686</v>
      </c>
      <c r="B231" t="s">
        <v>86</v>
      </c>
      <c r="C231" t="s">
        <v>27</v>
      </c>
      <c r="D231">
        <v>9.9499999999999993</v>
      </c>
      <c r="E231">
        <v>241.21</v>
      </c>
      <c r="F231" t="s">
        <v>19</v>
      </c>
      <c r="G231" t="s">
        <v>50</v>
      </c>
      <c r="H231" t="s">
        <v>42</v>
      </c>
      <c r="I231" t="s">
        <v>21</v>
      </c>
    </row>
    <row r="232" spans="1:9" x14ac:dyDescent="0.25">
      <c r="A232">
        <v>10687</v>
      </c>
      <c r="B232" t="s">
        <v>86</v>
      </c>
      <c r="C232" t="s">
        <v>10</v>
      </c>
      <c r="D232">
        <v>3.49</v>
      </c>
      <c r="E232">
        <v>630.37</v>
      </c>
      <c r="F232" t="s">
        <v>19</v>
      </c>
      <c r="G232" t="s">
        <v>50</v>
      </c>
      <c r="H232" t="s">
        <v>25</v>
      </c>
      <c r="I232" t="s">
        <v>26</v>
      </c>
    </row>
    <row r="233" spans="1:9" x14ac:dyDescent="0.25">
      <c r="A233">
        <v>10688</v>
      </c>
      <c r="B233" t="s">
        <v>86</v>
      </c>
      <c r="C233" t="s">
        <v>15</v>
      </c>
      <c r="D233">
        <v>2.95</v>
      </c>
      <c r="E233">
        <v>677.97</v>
      </c>
      <c r="F233" t="s">
        <v>19</v>
      </c>
      <c r="G233" t="s">
        <v>50</v>
      </c>
      <c r="H233" t="s">
        <v>25</v>
      </c>
      <c r="I233" t="s">
        <v>26</v>
      </c>
    </row>
    <row r="234" spans="1:9" x14ac:dyDescent="0.25">
      <c r="A234">
        <v>10689</v>
      </c>
      <c r="B234" t="s">
        <v>86</v>
      </c>
      <c r="C234" t="s">
        <v>18</v>
      </c>
      <c r="D234">
        <v>4.99</v>
      </c>
      <c r="E234">
        <v>200.4</v>
      </c>
      <c r="F234" t="s">
        <v>19</v>
      </c>
      <c r="G234" t="s">
        <v>50</v>
      </c>
      <c r="H234" t="s">
        <v>25</v>
      </c>
      <c r="I234" t="s">
        <v>26</v>
      </c>
    </row>
    <row r="235" spans="1:9" x14ac:dyDescent="0.25">
      <c r="A235">
        <v>10690</v>
      </c>
      <c r="B235" t="s">
        <v>87</v>
      </c>
      <c r="C235" t="s">
        <v>23</v>
      </c>
      <c r="D235">
        <v>12.99</v>
      </c>
      <c r="E235">
        <v>677.44</v>
      </c>
      <c r="F235" t="s">
        <v>19</v>
      </c>
      <c r="G235" t="s">
        <v>50</v>
      </c>
      <c r="H235" t="s">
        <v>25</v>
      </c>
      <c r="I235" t="s">
        <v>26</v>
      </c>
    </row>
    <row r="236" spans="1:9" x14ac:dyDescent="0.25">
      <c r="A236">
        <v>10691</v>
      </c>
      <c r="B236" t="s">
        <v>87</v>
      </c>
      <c r="C236" t="s">
        <v>27</v>
      </c>
      <c r="D236">
        <v>9.9499999999999993</v>
      </c>
      <c r="E236">
        <v>261.31</v>
      </c>
      <c r="F236" t="s">
        <v>19</v>
      </c>
      <c r="G236" t="s">
        <v>50</v>
      </c>
      <c r="H236" t="s">
        <v>25</v>
      </c>
      <c r="I236" t="s">
        <v>26</v>
      </c>
    </row>
    <row r="237" spans="1:9" x14ac:dyDescent="0.25">
      <c r="A237">
        <v>10692</v>
      </c>
      <c r="B237" t="s">
        <v>87</v>
      </c>
      <c r="C237" t="s">
        <v>10</v>
      </c>
      <c r="D237">
        <v>3.49</v>
      </c>
      <c r="E237">
        <v>630.37</v>
      </c>
      <c r="F237" t="s">
        <v>19</v>
      </c>
      <c r="G237" t="s">
        <v>50</v>
      </c>
      <c r="H237" t="s">
        <v>25</v>
      </c>
      <c r="I237" t="s">
        <v>26</v>
      </c>
    </row>
    <row r="238" spans="1:9" x14ac:dyDescent="0.25">
      <c r="A238">
        <v>10693</v>
      </c>
      <c r="B238" t="s">
        <v>87</v>
      </c>
      <c r="C238" t="s">
        <v>15</v>
      </c>
      <c r="D238">
        <v>2.95</v>
      </c>
      <c r="E238">
        <v>677.97</v>
      </c>
      <c r="F238" t="s">
        <v>19</v>
      </c>
      <c r="G238" t="s">
        <v>50</v>
      </c>
      <c r="H238" t="s">
        <v>25</v>
      </c>
      <c r="I238" t="s">
        <v>26</v>
      </c>
    </row>
    <row r="239" spans="1:9" x14ac:dyDescent="0.25">
      <c r="A239">
        <v>10694</v>
      </c>
      <c r="B239" t="s">
        <v>87</v>
      </c>
      <c r="C239" t="s">
        <v>18</v>
      </c>
      <c r="D239">
        <v>4.99</v>
      </c>
      <c r="E239">
        <v>200.4</v>
      </c>
      <c r="F239" t="s">
        <v>19</v>
      </c>
      <c r="G239" t="s">
        <v>50</v>
      </c>
      <c r="H239" t="s">
        <v>25</v>
      </c>
      <c r="I239" t="s">
        <v>26</v>
      </c>
    </row>
    <row r="240" spans="1:9" x14ac:dyDescent="0.25">
      <c r="A240">
        <v>10695</v>
      </c>
      <c r="B240" t="s">
        <v>88</v>
      </c>
      <c r="C240" t="s">
        <v>23</v>
      </c>
      <c r="D240">
        <v>12.99</v>
      </c>
      <c r="E240">
        <v>692.84</v>
      </c>
      <c r="F240" t="s">
        <v>19</v>
      </c>
      <c r="G240" t="s">
        <v>50</v>
      </c>
      <c r="H240" t="s">
        <v>25</v>
      </c>
      <c r="I240" t="s">
        <v>26</v>
      </c>
    </row>
    <row r="241" spans="1:9" x14ac:dyDescent="0.25">
      <c r="A241">
        <v>10696</v>
      </c>
      <c r="B241" t="s">
        <v>88</v>
      </c>
      <c r="C241" t="s">
        <v>27</v>
      </c>
      <c r="D241">
        <v>9.9499999999999993</v>
      </c>
      <c r="E241">
        <v>281.41000000000003</v>
      </c>
      <c r="F241" t="s">
        <v>19</v>
      </c>
      <c r="G241" t="s">
        <v>50</v>
      </c>
      <c r="H241" t="s">
        <v>25</v>
      </c>
      <c r="I241" t="s">
        <v>26</v>
      </c>
    </row>
    <row r="242" spans="1:9" x14ac:dyDescent="0.25">
      <c r="A242">
        <v>10697</v>
      </c>
      <c r="B242" t="s">
        <v>88</v>
      </c>
      <c r="C242" t="s">
        <v>10</v>
      </c>
      <c r="D242">
        <v>3.49</v>
      </c>
      <c r="E242">
        <v>630.37</v>
      </c>
      <c r="F242" t="s">
        <v>19</v>
      </c>
      <c r="G242" t="s">
        <v>50</v>
      </c>
      <c r="H242" t="s">
        <v>25</v>
      </c>
      <c r="I242" t="s">
        <v>26</v>
      </c>
    </row>
    <row r="243" spans="1:9" x14ac:dyDescent="0.25">
      <c r="A243">
        <v>10698</v>
      </c>
      <c r="B243" t="s">
        <v>88</v>
      </c>
      <c r="C243" t="s">
        <v>15</v>
      </c>
      <c r="D243">
        <v>2.95</v>
      </c>
      <c r="E243">
        <v>677.97</v>
      </c>
      <c r="F243" t="s">
        <v>19</v>
      </c>
      <c r="G243" t="s">
        <v>50</v>
      </c>
      <c r="H243" t="s">
        <v>25</v>
      </c>
      <c r="I243" t="s">
        <v>26</v>
      </c>
    </row>
    <row r="244" spans="1:9" x14ac:dyDescent="0.25">
      <c r="A244">
        <v>10699</v>
      </c>
      <c r="B244" t="s">
        <v>88</v>
      </c>
      <c r="C244" t="s">
        <v>18</v>
      </c>
      <c r="D244">
        <v>4.99</v>
      </c>
      <c r="E244">
        <v>200.4</v>
      </c>
      <c r="F244" t="s">
        <v>19</v>
      </c>
      <c r="G244" t="s">
        <v>50</v>
      </c>
      <c r="H244" t="s">
        <v>25</v>
      </c>
      <c r="I244" t="s">
        <v>26</v>
      </c>
    </row>
    <row r="245" spans="1:9" x14ac:dyDescent="0.25">
      <c r="A245">
        <v>10700</v>
      </c>
      <c r="B245" t="s">
        <v>89</v>
      </c>
      <c r="C245" t="s">
        <v>23</v>
      </c>
      <c r="D245">
        <v>12.99</v>
      </c>
      <c r="E245">
        <v>692.84</v>
      </c>
      <c r="F245" t="s">
        <v>19</v>
      </c>
      <c r="G245" t="s">
        <v>50</v>
      </c>
      <c r="H245" t="s">
        <v>25</v>
      </c>
      <c r="I245" t="s">
        <v>26</v>
      </c>
    </row>
    <row r="246" spans="1:9" x14ac:dyDescent="0.25">
      <c r="A246">
        <v>10701</v>
      </c>
      <c r="B246" t="s">
        <v>89</v>
      </c>
      <c r="C246" t="s">
        <v>27</v>
      </c>
      <c r="D246">
        <v>9.9499999999999993</v>
      </c>
      <c r="E246">
        <v>281.41000000000003</v>
      </c>
      <c r="F246" t="s">
        <v>19</v>
      </c>
      <c r="G246" t="s">
        <v>50</v>
      </c>
      <c r="H246" t="s">
        <v>25</v>
      </c>
      <c r="I246" t="s">
        <v>26</v>
      </c>
    </row>
    <row r="247" spans="1:9" x14ac:dyDescent="0.25">
      <c r="A247">
        <v>10702</v>
      </c>
      <c r="B247" t="s">
        <v>89</v>
      </c>
      <c r="C247" t="s">
        <v>10</v>
      </c>
      <c r="D247">
        <v>3.49</v>
      </c>
      <c r="E247">
        <v>630.37</v>
      </c>
      <c r="F247" t="s">
        <v>19</v>
      </c>
      <c r="G247" t="s">
        <v>50</v>
      </c>
      <c r="H247" t="s">
        <v>25</v>
      </c>
      <c r="I247" t="s">
        <v>26</v>
      </c>
    </row>
    <row r="248" spans="1:9" x14ac:dyDescent="0.25">
      <c r="A248">
        <v>10703</v>
      </c>
      <c r="B248" t="s">
        <v>89</v>
      </c>
      <c r="C248" t="s">
        <v>15</v>
      </c>
      <c r="D248">
        <v>2.95</v>
      </c>
      <c r="E248">
        <v>677.97</v>
      </c>
      <c r="F248" t="s">
        <v>19</v>
      </c>
      <c r="G248" t="s">
        <v>12</v>
      </c>
      <c r="H248" t="s">
        <v>25</v>
      </c>
      <c r="I248" t="s">
        <v>26</v>
      </c>
    </row>
    <row r="249" spans="1:9" x14ac:dyDescent="0.25">
      <c r="A249">
        <v>10704</v>
      </c>
      <c r="B249" t="s">
        <v>89</v>
      </c>
      <c r="C249" t="s">
        <v>18</v>
      </c>
      <c r="D249">
        <v>4.99</v>
      </c>
      <c r="E249">
        <v>200.4</v>
      </c>
      <c r="F249" t="s">
        <v>46</v>
      </c>
      <c r="G249" t="s">
        <v>12</v>
      </c>
      <c r="H249" t="s">
        <v>25</v>
      </c>
      <c r="I249" t="s">
        <v>26</v>
      </c>
    </row>
    <row r="250" spans="1:9" x14ac:dyDescent="0.25">
      <c r="A250">
        <v>10705</v>
      </c>
      <c r="B250" t="s">
        <v>90</v>
      </c>
      <c r="C250" t="s">
        <v>23</v>
      </c>
      <c r="D250">
        <v>12.99</v>
      </c>
      <c r="E250">
        <v>723.63</v>
      </c>
      <c r="F250" t="s">
        <v>46</v>
      </c>
      <c r="G250" t="s">
        <v>12</v>
      </c>
      <c r="H250" t="s">
        <v>25</v>
      </c>
      <c r="I250" t="s">
        <v>26</v>
      </c>
    </row>
    <row r="251" spans="1:9" x14ac:dyDescent="0.25">
      <c r="A251">
        <v>10706</v>
      </c>
      <c r="B251" t="s">
        <v>90</v>
      </c>
      <c r="C251" t="s">
        <v>27</v>
      </c>
      <c r="D251">
        <v>9.9499999999999993</v>
      </c>
      <c r="E251">
        <v>301.51</v>
      </c>
      <c r="F251" t="s">
        <v>46</v>
      </c>
      <c r="G251" t="s">
        <v>12</v>
      </c>
      <c r="H251" t="s">
        <v>25</v>
      </c>
      <c r="I251" t="s">
        <v>26</v>
      </c>
    </row>
    <row r="252" spans="1:9" x14ac:dyDescent="0.25">
      <c r="A252">
        <v>10707</v>
      </c>
      <c r="B252" t="s">
        <v>90</v>
      </c>
      <c r="C252" t="s">
        <v>10</v>
      </c>
      <c r="D252">
        <v>3.49</v>
      </c>
      <c r="E252">
        <v>630.37</v>
      </c>
      <c r="F252" t="s">
        <v>46</v>
      </c>
      <c r="G252" t="s">
        <v>12</v>
      </c>
      <c r="H252" t="s">
        <v>25</v>
      </c>
      <c r="I252" t="s">
        <v>26</v>
      </c>
    </row>
    <row r="253" spans="1:9" x14ac:dyDescent="0.25">
      <c r="A253">
        <v>10708</v>
      </c>
      <c r="B253" t="s">
        <v>90</v>
      </c>
      <c r="C253" t="s">
        <v>15</v>
      </c>
      <c r="D253">
        <v>2.95</v>
      </c>
      <c r="E253">
        <v>677.97</v>
      </c>
      <c r="F253" t="s">
        <v>46</v>
      </c>
      <c r="G253" t="s">
        <v>12</v>
      </c>
      <c r="H253" t="s">
        <v>25</v>
      </c>
      <c r="I253" t="s">
        <v>26</v>
      </c>
    </row>
    <row r="254" spans="1:9" x14ac:dyDescent="0.25">
      <c r="A254">
        <v>10709</v>
      </c>
      <c r="B254" t="s">
        <v>90</v>
      </c>
      <c r="C254" t="s">
        <v>18</v>
      </c>
      <c r="D254">
        <v>4.99</v>
      </c>
      <c r="E254">
        <v>200.4</v>
      </c>
      <c r="F254" t="s">
        <v>46</v>
      </c>
      <c r="G254" t="s">
        <v>12</v>
      </c>
      <c r="H254" t="s">
        <v>25</v>
      </c>
      <c r="I254" t="s">
        <v>26</v>
      </c>
    </row>
    <row r="255" spans="1:9" x14ac:dyDescent="0.25">
      <c r="A255">
        <v>10710</v>
      </c>
      <c r="B255" t="s">
        <v>91</v>
      </c>
      <c r="C255" t="s">
        <v>23</v>
      </c>
      <c r="D255">
        <v>12.99</v>
      </c>
      <c r="E255">
        <v>754.43</v>
      </c>
      <c r="F255" t="s">
        <v>46</v>
      </c>
      <c r="G255" t="s">
        <v>12</v>
      </c>
      <c r="H255" t="s">
        <v>25</v>
      </c>
      <c r="I255" t="s">
        <v>26</v>
      </c>
    </row>
    <row r="256" spans="1:9" x14ac:dyDescent="0.25">
      <c r="A256">
        <v>10711</v>
      </c>
      <c r="B256" t="s">
        <v>91</v>
      </c>
      <c r="C256" t="s">
        <v>27</v>
      </c>
      <c r="D256">
        <v>9.9499999999999993</v>
      </c>
      <c r="E256">
        <v>281.41000000000003</v>
      </c>
      <c r="F256" t="s">
        <v>46</v>
      </c>
      <c r="G256" t="s">
        <v>12</v>
      </c>
      <c r="H256" t="s">
        <v>25</v>
      </c>
      <c r="I256" t="s">
        <v>26</v>
      </c>
    </row>
    <row r="257" spans="1:9" x14ac:dyDescent="0.25">
      <c r="A257">
        <v>10712</v>
      </c>
      <c r="B257" t="s">
        <v>91</v>
      </c>
      <c r="C257" t="s">
        <v>10</v>
      </c>
      <c r="D257">
        <v>3.49</v>
      </c>
      <c r="E257">
        <v>630.37</v>
      </c>
      <c r="F257" t="s">
        <v>46</v>
      </c>
      <c r="G257" t="s">
        <v>12</v>
      </c>
      <c r="H257" t="s">
        <v>25</v>
      </c>
      <c r="I257" t="s">
        <v>26</v>
      </c>
    </row>
    <row r="258" spans="1:9" x14ac:dyDescent="0.25">
      <c r="A258">
        <v>10713</v>
      </c>
      <c r="B258" t="s">
        <v>91</v>
      </c>
      <c r="C258" t="s">
        <v>15</v>
      </c>
      <c r="D258">
        <v>2.95</v>
      </c>
      <c r="E258">
        <v>677.97</v>
      </c>
      <c r="F258" t="s">
        <v>46</v>
      </c>
      <c r="G258" t="s">
        <v>12</v>
      </c>
      <c r="H258" t="s">
        <v>25</v>
      </c>
      <c r="I258" t="s">
        <v>26</v>
      </c>
    </row>
  </sheetData>
  <mergeCells count="7">
    <mergeCell ref="U23:V23"/>
    <mergeCell ref="U24:V24"/>
    <mergeCell ref="U22:V22"/>
    <mergeCell ref="E1:AB1"/>
    <mergeCell ref="K3:N3"/>
    <mergeCell ref="P3:R3"/>
    <mergeCell ref="P15:Q15"/>
  </mergeCells>
  <conditionalFormatting sqref="U25:U2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{22E2D453-C212-4646-B0B5-1E7181717E87}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E2D453-C212-4646-B0B5-1E7181717E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U25:U29</xm:sqref>
        </x14:conditionalFormatting>
        <x14:conditionalFormatting xmlns:xm="http://schemas.microsoft.com/office/excel/2006/main">
          <x14:cfRule type="iconSet" priority="2" id="{880EAC0F-47E3-4918-9EED-5ED0F0B695A4}">
            <x14:iconSet iconSet="3Triangles" showValue="0">
              <x14:cfvo type="percent">
                <xm:f>0</xm:f>
              </x14:cfvo>
              <x14:cfvo type="percent">
                <xm:f>25</xm:f>
              </x14:cfvo>
              <x14:cfvo type="percent">
                <xm:f>35</xm:f>
              </x14:cfvo>
            </x14:iconSet>
          </x14:cfRule>
          <xm:sqref>V25:V29</xm:sqref>
        </x14:conditionalFormatting>
        <x14:conditionalFormatting xmlns:xm="http://schemas.microsoft.com/office/excel/2006/main">
          <x14:cfRule type="iconSet" priority="1" id="{A63F05D5-F8DD-41A3-B287-F9F96C523065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X20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BCFE-369F-4F1F-8F3C-7A39C4BAF070}">
  <dimension ref="A1:AA45"/>
  <sheetViews>
    <sheetView tabSelected="1" topLeftCell="F1" zoomScale="80" zoomScaleNormal="80" workbookViewId="0">
      <selection activeCell="R40" sqref="R40"/>
    </sheetView>
  </sheetViews>
  <sheetFormatPr defaultRowHeight="15" x14ac:dyDescent="0.25"/>
  <cols>
    <col min="1" max="1" width="13.42578125" bestFit="1" customWidth="1"/>
    <col min="2" max="3" width="22.42578125" bestFit="1" customWidth="1"/>
    <col min="4" max="4" width="16.42578125" bestFit="1" customWidth="1"/>
    <col min="5" max="5" width="14.5703125" bestFit="1" customWidth="1"/>
    <col min="6" max="6" width="9.7109375" bestFit="1" customWidth="1"/>
    <col min="8" max="8" width="15.140625" bestFit="1" customWidth="1"/>
    <col min="9" max="9" width="12.140625" bestFit="1" customWidth="1"/>
    <col min="10" max="10" width="10.5703125" bestFit="1" customWidth="1"/>
    <col min="11" max="11" width="10.140625" bestFit="1" customWidth="1"/>
    <col min="12" max="12" width="13.5703125" bestFit="1" customWidth="1"/>
    <col min="13" max="13" width="16.42578125" customWidth="1"/>
    <col min="14" max="14" width="7.5703125" bestFit="1" customWidth="1"/>
    <col min="15" max="15" width="16.28515625" bestFit="1" customWidth="1"/>
    <col min="16" max="16" width="6.28515625" bestFit="1" customWidth="1"/>
    <col min="17" max="17" width="15" bestFit="1" customWidth="1"/>
    <col min="18" max="18" width="14.28515625" customWidth="1"/>
    <col min="19" max="19" width="24.5703125" bestFit="1" customWidth="1"/>
    <col min="20" max="20" width="25" bestFit="1" customWidth="1"/>
    <col min="23" max="23" width="15.42578125" customWidth="1"/>
    <col min="24" max="24" width="26.42578125" customWidth="1"/>
    <col min="25" max="25" width="64.5703125" bestFit="1" customWidth="1"/>
  </cols>
  <sheetData>
    <row r="1" spans="1:25" ht="25.5" x14ac:dyDescent="0.5">
      <c r="B1" s="48" t="s">
        <v>268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3" spans="1:25" ht="15.75" x14ac:dyDescent="0.25">
      <c r="A3" s="41" t="s">
        <v>263</v>
      </c>
      <c r="B3" s="41"/>
      <c r="C3" s="41"/>
      <c r="D3" s="27"/>
      <c r="E3" s="8" t="s">
        <v>242</v>
      </c>
      <c r="F3" s="8" t="s">
        <v>211</v>
      </c>
      <c r="G3" s="8" t="s">
        <v>212</v>
      </c>
      <c r="H3" s="8" t="s">
        <v>243</v>
      </c>
      <c r="I3" s="8" t="s">
        <v>241</v>
      </c>
      <c r="J3" s="8" t="s">
        <v>248</v>
      </c>
      <c r="K3" s="8" t="s">
        <v>238</v>
      </c>
      <c r="L3" s="8" t="s">
        <v>251</v>
      </c>
      <c r="M3" s="8" t="s">
        <v>252</v>
      </c>
      <c r="N3" s="8" t="s">
        <v>210</v>
      </c>
      <c r="O3" s="8"/>
      <c r="W3" s="41" t="s">
        <v>271</v>
      </c>
      <c r="X3" s="41"/>
      <c r="Y3" s="30" t="s">
        <v>285</v>
      </c>
    </row>
    <row r="4" spans="1:25" x14ac:dyDescent="0.25">
      <c r="E4">
        <v>10452</v>
      </c>
      <c r="F4" t="s">
        <v>224</v>
      </c>
      <c r="G4" t="s">
        <v>213</v>
      </c>
      <c r="H4" t="str">
        <f t="shared" ref="H4:H12" si="0">_xlfn.TEXTJOIN(" ",TRUE, F4,G4)</f>
        <v>Tom Jackson</v>
      </c>
      <c r="I4">
        <v>30</v>
      </c>
      <c r="J4" t="s">
        <v>249</v>
      </c>
      <c r="K4" t="s">
        <v>231</v>
      </c>
      <c r="L4">
        <v>42000</v>
      </c>
      <c r="M4" t="s">
        <v>9</v>
      </c>
      <c r="N4" t="str">
        <f t="shared" ref="N4:N12" si="1">LOWER(_xlfn.CONCAT(F4, ".", G4,"@aol.com"))</f>
        <v>tom.jackson@aol.com</v>
      </c>
      <c r="R4" s="8" t="s">
        <v>243</v>
      </c>
      <c r="S4" s="8" t="s">
        <v>252</v>
      </c>
      <c r="T4" s="8" t="s">
        <v>210</v>
      </c>
      <c r="W4" s="8" t="s">
        <v>252</v>
      </c>
      <c r="X4" s="8" t="s">
        <v>243</v>
      </c>
    </row>
    <row r="5" spans="1:25" x14ac:dyDescent="0.25">
      <c r="A5" s="8" t="s">
        <v>243</v>
      </c>
      <c r="B5" s="8" t="s">
        <v>210</v>
      </c>
      <c r="E5">
        <v>10453</v>
      </c>
      <c r="F5" t="s">
        <v>223</v>
      </c>
      <c r="G5" t="s">
        <v>214</v>
      </c>
      <c r="H5" t="str">
        <f t="shared" si="0"/>
        <v>Pablo Perez</v>
      </c>
      <c r="I5">
        <v>45</v>
      </c>
      <c r="J5" t="s">
        <v>249</v>
      </c>
      <c r="K5" t="s">
        <v>232</v>
      </c>
      <c r="L5">
        <v>65000</v>
      </c>
      <c r="M5" t="s">
        <v>9</v>
      </c>
      <c r="N5" t="str">
        <f t="shared" si="1"/>
        <v>pablo.perez@aol.com</v>
      </c>
      <c r="R5" t="s">
        <v>57</v>
      </c>
      <c r="S5" t="s">
        <v>272</v>
      </c>
      <c r="T5" t="s">
        <v>253</v>
      </c>
      <c r="W5" s="28" t="s">
        <v>280</v>
      </c>
      <c r="X5" s="28" t="str">
        <f>_xlfn.XLOOKUP(W5, S5:S13, R5:R13, "Not Found",1,1)</f>
        <v>Walter Muller</v>
      </c>
      <c r="Y5" s="28" t="s">
        <v>283</v>
      </c>
    </row>
    <row r="6" spans="1:25" x14ac:dyDescent="0.25">
      <c r="A6" t="s">
        <v>25</v>
      </c>
      <c r="B6" t="str">
        <f>_xlfn.XLOOKUP(A6, $H$4:$H$12, $N$4:$N$12)</f>
        <v>walter.muller@aol.com</v>
      </c>
      <c r="E6">
        <v>10454</v>
      </c>
      <c r="F6" t="s">
        <v>222</v>
      </c>
      <c r="G6" t="s">
        <v>215</v>
      </c>
      <c r="H6" t="str">
        <f t="shared" si="0"/>
        <v>Joao Silva</v>
      </c>
      <c r="I6">
        <v>28</v>
      </c>
      <c r="J6" t="s">
        <v>249</v>
      </c>
      <c r="K6" t="s">
        <v>233</v>
      </c>
      <c r="L6">
        <v>56000</v>
      </c>
      <c r="M6" t="s">
        <v>9</v>
      </c>
      <c r="N6" t="str">
        <f t="shared" si="1"/>
        <v>joao.silva@aol.com</v>
      </c>
      <c r="R6" t="s">
        <v>35</v>
      </c>
      <c r="S6" t="s">
        <v>273</v>
      </c>
      <c r="T6" t="s">
        <v>254</v>
      </c>
      <c r="W6" s="28" t="s">
        <v>281</v>
      </c>
      <c r="X6" s="28" t="str">
        <f t="shared" ref="X6:X8" si="2">_xlfn.XLOOKUP(W6, S6:S14, R6:R14, "Not Found",1,1)</f>
        <v>Aaron Salkini</v>
      </c>
      <c r="Y6" s="28" t="s">
        <v>283</v>
      </c>
    </row>
    <row r="7" spans="1:25" x14ac:dyDescent="0.25">
      <c r="A7" t="s">
        <v>57</v>
      </c>
      <c r="B7" t="str">
        <f>_xlfn.XLOOKUP(A7, $H$4:$H$12, $N$4:$N$12)</f>
        <v>tom.jackson@aol.com</v>
      </c>
      <c r="E7">
        <v>10455</v>
      </c>
      <c r="F7" t="s">
        <v>221</v>
      </c>
      <c r="G7" t="s">
        <v>216</v>
      </c>
      <c r="H7" t="str">
        <f t="shared" si="0"/>
        <v>Walter Muller</v>
      </c>
      <c r="I7">
        <v>40</v>
      </c>
      <c r="J7" t="s">
        <v>249</v>
      </c>
      <c r="K7" t="s">
        <v>234</v>
      </c>
      <c r="L7">
        <v>76000</v>
      </c>
      <c r="M7" t="s">
        <v>22</v>
      </c>
      <c r="N7" t="str">
        <f t="shared" si="1"/>
        <v>walter.muller@aol.com</v>
      </c>
      <c r="R7" t="s">
        <v>42</v>
      </c>
      <c r="S7" t="s">
        <v>274</v>
      </c>
      <c r="T7" t="s">
        <v>255</v>
      </c>
      <c r="W7" s="28" t="s">
        <v>282</v>
      </c>
      <c r="X7" s="28" t="str">
        <f t="shared" si="2"/>
        <v>Paul Ferguson</v>
      </c>
      <c r="Y7" s="28" t="s">
        <v>283</v>
      </c>
    </row>
    <row r="8" spans="1:25" x14ac:dyDescent="0.25">
      <c r="A8" t="s">
        <v>247</v>
      </c>
      <c r="B8" t="str">
        <f>_xlfn.XLOOKUP(A8, $H$4:$H$12, $N$4:$N$12)</f>
        <v>linda.john@aol.com</v>
      </c>
      <c r="E8">
        <v>10456</v>
      </c>
      <c r="F8" t="s">
        <v>219</v>
      </c>
      <c r="G8" t="s">
        <v>218</v>
      </c>
      <c r="H8" t="str">
        <f t="shared" si="0"/>
        <v>Ben Jayson</v>
      </c>
      <c r="I8">
        <v>25</v>
      </c>
      <c r="J8" t="s">
        <v>249</v>
      </c>
      <c r="K8" t="s">
        <v>235</v>
      </c>
      <c r="L8">
        <v>34000</v>
      </c>
      <c r="M8" t="s">
        <v>22</v>
      </c>
      <c r="N8" t="str">
        <f t="shared" si="1"/>
        <v>ben.jayson@aol.com</v>
      </c>
      <c r="R8" t="s">
        <v>25</v>
      </c>
      <c r="S8" t="s">
        <v>275</v>
      </c>
      <c r="T8" t="s">
        <v>256</v>
      </c>
      <c r="U8" t="s">
        <v>270</v>
      </c>
      <c r="W8" s="29" t="s">
        <v>275</v>
      </c>
      <c r="X8" s="29" t="str">
        <f t="shared" si="2"/>
        <v>Walter Muller</v>
      </c>
      <c r="Y8" s="29" t="s">
        <v>284</v>
      </c>
    </row>
    <row r="9" spans="1:25" x14ac:dyDescent="0.25">
      <c r="A9" t="s">
        <v>31</v>
      </c>
      <c r="B9" t="str">
        <f>_xlfn.XLOOKUP(A9, $H$4:$H$12, $N$4:$N$12)</f>
        <v>remy.monet@aol.com</v>
      </c>
      <c r="E9">
        <v>10457</v>
      </c>
      <c r="F9" t="s">
        <v>220</v>
      </c>
      <c r="G9" t="s">
        <v>217</v>
      </c>
      <c r="H9" t="str">
        <f t="shared" si="0"/>
        <v>Remy Monet</v>
      </c>
      <c r="I9">
        <v>29</v>
      </c>
      <c r="J9" t="s">
        <v>250</v>
      </c>
      <c r="K9" t="s">
        <v>236</v>
      </c>
      <c r="L9">
        <v>36000</v>
      </c>
      <c r="M9" t="s">
        <v>22</v>
      </c>
      <c r="N9" t="str">
        <f t="shared" si="1"/>
        <v>remy.monet@aol.com</v>
      </c>
      <c r="R9" t="s">
        <v>244</v>
      </c>
      <c r="S9" t="s">
        <v>276</v>
      </c>
      <c r="T9" t="s">
        <v>257</v>
      </c>
    </row>
    <row r="10" spans="1:25" x14ac:dyDescent="0.25">
      <c r="E10">
        <v>10459</v>
      </c>
      <c r="F10" t="s">
        <v>230</v>
      </c>
      <c r="G10" t="s">
        <v>225</v>
      </c>
      <c r="H10" t="str">
        <f t="shared" si="0"/>
        <v>Paul Ferguson</v>
      </c>
      <c r="I10">
        <v>31</v>
      </c>
      <c r="J10" t="s">
        <v>249</v>
      </c>
      <c r="K10" t="s">
        <v>237</v>
      </c>
      <c r="L10">
        <v>55000</v>
      </c>
      <c r="M10" t="s">
        <v>22</v>
      </c>
      <c r="N10" t="str">
        <f t="shared" si="1"/>
        <v>paul.ferguson@aol.com</v>
      </c>
      <c r="R10" t="s">
        <v>31</v>
      </c>
      <c r="S10" t="s">
        <v>277</v>
      </c>
      <c r="T10" t="s">
        <v>258</v>
      </c>
    </row>
    <row r="11" spans="1:25" x14ac:dyDescent="0.25">
      <c r="E11">
        <v>10460</v>
      </c>
      <c r="F11" t="s">
        <v>229</v>
      </c>
      <c r="G11" t="s">
        <v>226</v>
      </c>
      <c r="H11" t="str">
        <f t="shared" si="0"/>
        <v>Aaron Salkini</v>
      </c>
      <c r="I11">
        <v>27</v>
      </c>
      <c r="J11" t="s">
        <v>249</v>
      </c>
      <c r="K11" t="s">
        <v>239</v>
      </c>
      <c r="L11">
        <v>48000</v>
      </c>
      <c r="M11" t="s">
        <v>30</v>
      </c>
      <c r="N11" t="str">
        <f t="shared" si="1"/>
        <v>aaron.salkini@aol.com</v>
      </c>
      <c r="R11" t="s">
        <v>245</v>
      </c>
      <c r="S11" t="s">
        <v>278</v>
      </c>
      <c r="T11" t="s">
        <v>259</v>
      </c>
    </row>
    <row r="12" spans="1:25" x14ac:dyDescent="0.25">
      <c r="E12">
        <v>10461</v>
      </c>
      <c r="F12" t="s">
        <v>228</v>
      </c>
      <c r="G12" t="s">
        <v>227</v>
      </c>
      <c r="H12" t="str">
        <f t="shared" si="0"/>
        <v>Linda John</v>
      </c>
      <c r="I12">
        <v>28</v>
      </c>
      <c r="J12" t="s">
        <v>250</v>
      </c>
      <c r="K12" t="s">
        <v>240</v>
      </c>
      <c r="L12">
        <v>40000</v>
      </c>
      <c r="M12" t="s">
        <v>30</v>
      </c>
      <c r="N12" t="str">
        <f t="shared" si="1"/>
        <v>linda.john@aol.com</v>
      </c>
      <c r="R12" t="s">
        <v>246</v>
      </c>
      <c r="S12" t="s">
        <v>69</v>
      </c>
      <c r="T12" t="s">
        <v>260</v>
      </c>
    </row>
    <row r="13" spans="1:25" x14ac:dyDescent="0.25">
      <c r="R13" t="s">
        <v>247</v>
      </c>
      <c r="S13" t="s">
        <v>279</v>
      </c>
      <c r="T13" t="s">
        <v>261</v>
      </c>
      <c r="W13" s="45" t="s">
        <v>287</v>
      </c>
      <c r="X13" s="45"/>
      <c r="Y13" s="45"/>
    </row>
    <row r="14" spans="1:25" x14ac:dyDescent="0.25">
      <c r="W14" t="s">
        <v>286</v>
      </c>
      <c r="X14" t="s">
        <v>243</v>
      </c>
    </row>
    <row r="15" spans="1:25" x14ac:dyDescent="0.25">
      <c r="W15" t="s">
        <v>224</v>
      </c>
      <c r="X15" s="28" t="str">
        <f>_xlfn.XLOOKUP(W15&amp;"*", R5:R13, T5:T13, "Not Found",2)</f>
        <v>tom.jackson@aol.com</v>
      </c>
      <c r="Y15" s="28" t="s">
        <v>296</v>
      </c>
    </row>
    <row r="16" spans="1:25" x14ac:dyDescent="0.25">
      <c r="W16" t="s">
        <v>223</v>
      </c>
      <c r="X16" s="28" t="str">
        <f>_xlfn.XLOOKUP(W16&amp;"*", R6:R14, T6:T14, "Not Found",2)</f>
        <v>pablo.perez@aol.com</v>
      </c>
      <c r="Y16" s="28" t="s">
        <v>296</v>
      </c>
    </row>
    <row r="17" spans="1:27" x14ac:dyDescent="0.25">
      <c r="A17" s="38" t="s">
        <v>264</v>
      </c>
      <c r="B17" s="38"/>
      <c r="C17" s="38"/>
      <c r="D17" s="38"/>
      <c r="W17" t="s">
        <v>222</v>
      </c>
      <c r="X17" s="28" t="str">
        <f>_xlfn.XLOOKUP(W17&amp;"*", R7:R15, T7:T15, "Not Found",2)</f>
        <v>joao.silva@aol.com</v>
      </c>
      <c r="Y17" s="28" t="s">
        <v>296</v>
      </c>
    </row>
    <row r="18" spans="1:27" ht="15.75" x14ac:dyDescent="0.25">
      <c r="A18" s="41" t="s">
        <v>262</v>
      </c>
      <c r="B18" s="41"/>
      <c r="C18" s="41"/>
      <c r="W18" t="s">
        <v>217</v>
      </c>
      <c r="X18" s="29" t="str">
        <f>_xlfn.XLOOKUP("*"&amp;W18, R8:R16, T8:T16, "Not Found",2,-1)</f>
        <v>remy.monet@aol.com</v>
      </c>
      <c r="Y18" s="29" t="s">
        <v>295</v>
      </c>
    </row>
    <row r="19" spans="1:27" x14ac:dyDescent="0.25">
      <c r="A19" s="8" t="s">
        <v>243</v>
      </c>
      <c r="B19" s="8" t="s">
        <v>252</v>
      </c>
      <c r="C19" s="8" t="s">
        <v>210</v>
      </c>
      <c r="E19" s="8" t="s">
        <v>242</v>
      </c>
      <c r="F19" s="8" t="s">
        <v>211</v>
      </c>
      <c r="G19" s="8" t="s">
        <v>212</v>
      </c>
      <c r="H19" s="8" t="s">
        <v>243</v>
      </c>
      <c r="I19" s="8" t="s">
        <v>241</v>
      </c>
      <c r="J19" s="8" t="s">
        <v>248</v>
      </c>
      <c r="K19" s="8" t="s">
        <v>238</v>
      </c>
      <c r="L19" s="8" t="s">
        <v>251</v>
      </c>
      <c r="M19" s="8" t="s">
        <v>252</v>
      </c>
      <c r="N19" s="8" t="s">
        <v>210</v>
      </c>
      <c r="R19" s="8" t="s">
        <v>243</v>
      </c>
      <c r="S19" s="8" t="s">
        <v>241</v>
      </c>
      <c r="T19" s="8" t="s">
        <v>210</v>
      </c>
      <c r="W19" t="s">
        <v>227</v>
      </c>
      <c r="X19" s="29" t="str">
        <f>_xlfn.XLOOKUP("*"&amp;W19, R9:R17, T9:T17, "Not Found",2,-1)</f>
        <v>linda.john@aol.com</v>
      </c>
      <c r="Y19" s="29" t="s">
        <v>295</v>
      </c>
    </row>
    <row r="20" spans="1:27" x14ac:dyDescent="0.25">
      <c r="A20" t="s">
        <v>57</v>
      </c>
      <c r="B20" t="str" cm="1">
        <f t="array" ref="B20:C20">_xlfn.XLOOKUP(A20, $H$20:$H$28, $M$20:$N$28)</f>
        <v>07-11-2022</v>
      </c>
      <c r="C20" t="str">
        <v>tom.jackson@aol.com</v>
      </c>
      <c r="E20">
        <v>10452</v>
      </c>
      <c r="F20" t="s">
        <v>224</v>
      </c>
      <c r="G20" t="s">
        <v>213</v>
      </c>
      <c r="H20" t="s">
        <v>57</v>
      </c>
      <c r="I20">
        <v>30</v>
      </c>
      <c r="J20" t="s">
        <v>249</v>
      </c>
      <c r="K20" t="s">
        <v>231</v>
      </c>
      <c r="L20">
        <v>42000</v>
      </c>
      <c r="M20" t="s">
        <v>9</v>
      </c>
      <c r="N20" t="s">
        <v>253</v>
      </c>
      <c r="R20" t="s">
        <v>57</v>
      </c>
      <c r="S20">
        <v>30</v>
      </c>
      <c r="T20" t="s">
        <v>253</v>
      </c>
    </row>
    <row r="21" spans="1:27" x14ac:dyDescent="0.25">
      <c r="A21" t="s">
        <v>35</v>
      </c>
      <c r="B21" t="str" cm="1">
        <f t="array" ref="B21:C21">_xlfn.XLOOKUP(A21, $H$20:$H$28, $M$20:$N$28)</f>
        <v>07-11-2022</v>
      </c>
      <c r="C21" t="str">
        <v>pablo.perez@aol.com</v>
      </c>
      <c r="E21">
        <v>10453</v>
      </c>
      <c r="F21" t="s">
        <v>223</v>
      </c>
      <c r="G21" t="s">
        <v>214</v>
      </c>
      <c r="H21" t="s">
        <v>35</v>
      </c>
      <c r="I21">
        <v>45</v>
      </c>
      <c r="J21" t="s">
        <v>249</v>
      </c>
      <c r="K21" t="s">
        <v>232</v>
      </c>
      <c r="L21">
        <v>65000</v>
      </c>
      <c r="M21" t="s">
        <v>9</v>
      </c>
      <c r="N21" t="s">
        <v>254</v>
      </c>
      <c r="R21" t="s">
        <v>35</v>
      </c>
      <c r="S21">
        <v>45</v>
      </c>
      <c r="T21" t="s">
        <v>254</v>
      </c>
    </row>
    <row r="22" spans="1:27" x14ac:dyDescent="0.25">
      <c r="A22" t="s">
        <v>42</v>
      </c>
      <c r="B22" t="str" cm="1">
        <f t="array" ref="B22:C22">_xlfn.XLOOKUP(A22, $H$20:$H$28, $M$20:$N$28)</f>
        <v>07-11-2022</v>
      </c>
      <c r="C22" t="str">
        <v>joao.silva@aol.com</v>
      </c>
      <c r="E22">
        <v>10454</v>
      </c>
      <c r="F22" t="s">
        <v>222</v>
      </c>
      <c r="G22" t="s">
        <v>215</v>
      </c>
      <c r="H22" t="s">
        <v>42</v>
      </c>
      <c r="I22">
        <v>28</v>
      </c>
      <c r="J22" t="s">
        <v>249</v>
      </c>
      <c r="K22" t="s">
        <v>233</v>
      </c>
      <c r="L22">
        <v>56000</v>
      </c>
      <c r="M22" t="s">
        <v>9</v>
      </c>
      <c r="N22" t="s">
        <v>255</v>
      </c>
      <c r="R22" t="s">
        <v>42</v>
      </c>
      <c r="S22">
        <v>28</v>
      </c>
      <c r="T22" t="s">
        <v>255</v>
      </c>
    </row>
    <row r="23" spans="1:27" x14ac:dyDescent="0.25">
      <c r="A23" t="s">
        <v>25</v>
      </c>
      <c r="B23" t="str" cm="1">
        <f t="array" ref="B23:C23">_xlfn.XLOOKUP(A23, $H$20:$H$28, $M$20:$N$28)</f>
        <v>08-11-2022</v>
      </c>
      <c r="C23" t="str">
        <v>walter.muller@aol.com</v>
      </c>
      <c r="E23">
        <v>10455</v>
      </c>
      <c r="F23" t="s">
        <v>221</v>
      </c>
      <c r="G23" t="s">
        <v>216</v>
      </c>
      <c r="H23" t="s">
        <v>25</v>
      </c>
      <c r="I23">
        <v>40</v>
      </c>
      <c r="J23" t="s">
        <v>249</v>
      </c>
      <c r="K23" t="s">
        <v>234</v>
      </c>
      <c r="L23">
        <v>76000</v>
      </c>
      <c r="M23" t="s">
        <v>22</v>
      </c>
      <c r="N23" t="s">
        <v>256</v>
      </c>
      <c r="R23" t="s">
        <v>25</v>
      </c>
      <c r="S23">
        <v>40</v>
      </c>
      <c r="T23" t="s">
        <v>256</v>
      </c>
    </row>
    <row r="24" spans="1:27" x14ac:dyDescent="0.25">
      <c r="E24">
        <v>10456</v>
      </c>
      <c r="F24" t="s">
        <v>219</v>
      </c>
      <c r="G24" t="s">
        <v>218</v>
      </c>
      <c r="H24" t="s">
        <v>244</v>
      </c>
      <c r="I24">
        <v>25</v>
      </c>
      <c r="J24" t="s">
        <v>249</v>
      </c>
      <c r="K24" t="s">
        <v>235</v>
      </c>
      <c r="L24">
        <v>34000</v>
      </c>
      <c r="M24" t="s">
        <v>22</v>
      </c>
      <c r="N24" t="s">
        <v>257</v>
      </c>
      <c r="R24" t="s">
        <v>244</v>
      </c>
      <c r="S24">
        <v>25</v>
      </c>
      <c r="T24" t="s">
        <v>257</v>
      </c>
    </row>
    <row r="25" spans="1:27" x14ac:dyDescent="0.25">
      <c r="E25">
        <v>10457</v>
      </c>
      <c r="F25" t="s">
        <v>220</v>
      </c>
      <c r="G25" t="s">
        <v>217</v>
      </c>
      <c r="H25" t="s">
        <v>31</v>
      </c>
      <c r="I25">
        <v>29</v>
      </c>
      <c r="J25" t="s">
        <v>250</v>
      </c>
      <c r="K25" t="s">
        <v>236</v>
      </c>
      <c r="L25">
        <v>36000</v>
      </c>
      <c r="M25" t="s">
        <v>22</v>
      </c>
      <c r="N25" t="s">
        <v>258</v>
      </c>
      <c r="R25" t="s">
        <v>31</v>
      </c>
      <c r="S25">
        <v>29</v>
      </c>
      <c r="T25" t="s">
        <v>258</v>
      </c>
    </row>
    <row r="26" spans="1:27" x14ac:dyDescent="0.25">
      <c r="E26">
        <v>10459</v>
      </c>
      <c r="F26" t="s">
        <v>230</v>
      </c>
      <c r="G26" t="s">
        <v>225</v>
      </c>
      <c r="H26" t="s">
        <v>245</v>
      </c>
      <c r="I26">
        <v>31</v>
      </c>
      <c r="J26" t="s">
        <v>249</v>
      </c>
      <c r="K26" t="s">
        <v>237</v>
      </c>
      <c r="L26">
        <v>55000</v>
      </c>
      <c r="M26" t="s">
        <v>22</v>
      </c>
      <c r="N26" t="s">
        <v>259</v>
      </c>
      <c r="R26" t="s">
        <v>245</v>
      </c>
      <c r="S26">
        <v>31</v>
      </c>
      <c r="T26" t="s">
        <v>259</v>
      </c>
    </row>
    <row r="27" spans="1:27" x14ac:dyDescent="0.25">
      <c r="E27">
        <v>10460</v>
      </c>
      <c r="F27" t="s">
        <v>229</v>
      </c>
      <c r="G27" t="s">
        <v>226</v>
      </c>
      <c r="H27" t="s">
        <v>246</v>
      </c>
      <c r="I27">
        <v>27</v>
      </c>
      <c r="J27" t="s">
        <v>249</v>
      </c>
      <c r="K27" t="s">
        <v>239</v>
      </c>
      <c r="L27">
        <v>48000</v>
      </c>
      <c r="M27" t="s">
        <v>30</v>
      </c>
      <c r="N27" t="s">
        <v>260</v>
      </c>
      <c r="R27" t="s">
        <v>246</v>
      </c>
      <c r="S27">
        <v>27</v>
      </c>
      <c r="T27" t="s">
        <v>260</v>
      </c>
    </row>
    <row r="28" spans="1:27" x14ac:dyDescent="0.25">
      <c r="E28">
        <v>10461</v>
      </c>
      <c r="F28" t="s">
        <v>228</v>
      </c>
      <c r="G28" t="s">
        <v>227</v>
      </c>
      <c r="H28" t="s">
        <v>247</v>
      </c>
      <c r="I28">
        <v>28</v>
      </c>
      <c r="J28" t="s">
        <v>250</v>
      </c>
      <c r="K28" t="s">
        <v>240</v>
      </c>
      <c r="L28">
        <v>40000</v>
      </c>
      <c r="M28" t="s">
        <v>30</v>
      </c>
      <c r="N28" t="s">
        <v>261</v>
      </c>
      <c r="R28" t="s">
        <v>247</v>
      </c>
      <c r="S28">
        <v>28</v>
      </c>
      <c r="T28" t="s">
        <v>261</v>
      </c>
    </row>
    <row r="29" spans="1:27" x14ac:dyDescent="0.25">
      <c r="X29" t="s">
        <v>294</v>
      </c>
      <c r="Y29" t="s">
        <v>291</v>
      </c>
      <c r="Z29" t="s">
        <v>292</v>
      </c>
      <c r="AA29" t="s">
        <v>293</v>
      </c>
    </row>
    <row r="30" spans="1:27" ht="15.75" x14ac:dyDescent="0.25">
      <c r="A30" s="41" t="s">
        <v>265</v>
      </c>
      <c r="B30" s="41"/>
      <c r="D30" s="8" t="s">
        <v>242</v>
      </c>
      <c r="E30" s="8" t="s">
        <v>211</v>
      </c>
      <c r="F30" s="8" t="s">
        <v>212</v>
      </c>
      <c r="G30" s="8" t="s">
        <v>243</v>
      </c>
      <c r="H30" s="8" t="s">
        <v>241</v>
      </c>
      <c r="I30" s="8" t="s">
        <v>248</v>
      </c>
      <c r="J30" s="8" t="s">
        <v>238</v>
      </c>
      <c r="K30" s="8" t="s">
        <v>251</v>
      </c>
      <c r="L30" s="8" t="s">
        <v>252</v>
      </c>
      <c r="M30" s="8" t="s">
        <v>210</v>
      </c>
      <c r="Q30" s="41" t="s">
        <v>269</v>
      </c>
      <c r="R30" s="41"/>
      <c r="S30" s="41"/>
      <c r="T30" s="41"/>
      <c r="U30" s="41"/>
      <c r="W30" t="s">
        <v>289</v>
      </c>
      <c r="X30">
        <v>520</v>
      </c>
      <c r="Y30">
        <v>490</v>
      </c>
      <c r="Z30">
        <v>670</v>
      </c>
      <c r="AA30">
        <v>900</v>
      </c>
    </row>
    <row r="31" spans="1:27" x14ac:dyDescent="0.25">
      <c r="A31" s="8" t="s">
        <v>243</v>
      </c>
      <c r="B31" s="8" t="s">
        <v>210</v>
      </c>
      <c r="D31">
        <v>10452</v>
      </c>
      <c r="E31" t="s">
        <v>224</v>
      </c>
      <c r="F31" t="s">
        <v>213</v>
      </c>
      <c r="G31" t="s">
        <v>57</v>
      </c>
      <c r="H31">
        <v>30</v>
      </c>
      <c r="I31" t="s">
        <v>249</v>
      </c>
      <c r="J31" t="s">
        <v>231</v>
      </c>
      <c r="K31">
        <v>42000</v>
      </c>
      <c r="L31" t="s">
        <v>9</v>
      </c>
      <c r="M31" t="s">
        <v>253</v>
      </c>
      <c r="Q31" s="8" t="s">
        <v>243</v>
      </c>
      <c r="R31" s="8" t="s">
        <v>241</v>
      </c>
      <c r="S31" s="8" t="s">
        <v>210</v>
      </c>
      <c r="W31" t="s">
        <v>290</v>
      </c>
      <c r="X31">
        <v>1200</v>
      </c>
      <c r="Y31">
        <v>4302</v>
      </c>
      <c r="Z31">
        <v>259</v>
      </c>
      <c r="AA31">
        <v>1000</v>
      </c>
    </row>
    <row r="32" spans="1:27" x14ac:dyDescent="0.25">
      <c r="A32" t="s">
        <v>266</v>
      </c>
      <c r="B32" t="str">
        <f>_xlfn.XLOOKUP(A32, $G$31:$G$39, M31:M39, "Not Found", 0)</f>
        <v>Not Found</v>
      </c>
      <c r="D32">
        <v>10453</v>
      </c>
      <c r="E32" t="s">
        <v>223</v>
      </c>
      <c r="F32" t="s">
        <v>214</v>
      </c>
      <c r="G32" t="s">
        <v>35</v>
      </c>
      <c r="H32">
        <v>45</v>
      </c>
      <c r="I32" t="s">
        <v>249</v>
      </c>
      <c r="J32" t="s">
        <v>232</v>
      </c>
      <c r="K32">
        <v>65000</v>
      </c>
      <c r="L32" t="s">
        <v>9</v>
      </c>
      <c r="M32" t="s">
        <v>254</v>
      </c>
      <c r="Q32" t="s">
        <v>57</v>
      </c>
      <c r="R32" cm="1">
        <f t="array" ref="R32:S32">_xlfn.XLOOKUP(Q32, R20:R28, S20:T28, "Not Found",0,1)</f>
        <v>30</v>
      </c>
      <c r="S32" t="str">
        <v>tom.jackson@aol.com</v>
      </c>
      <c r="W32" t="s">
        <v>199</v>
      </c>
      <c r="X32">
        <v>214</v>
      </c>
      <c r="Y32">
        <v>129</v>
      </c>
      <c r="Z32">
        <v>80</v>
      </c>
      <c r="AA32">
        <v>100</v>
      </c>
    </row>
    <row r="33" spans="1:26" x14ac:dyDescent="0.25">
      <c r="A33" t="s">
        <v>299</v>
      </c>
      <c r="B33" t="str">
        <f>_xlfn.XLOOKUP(A33, $H$20:$H$28, $N$20:$N$28, "Not Found", 0)</f>
        <v>pablo.perez@aol.com</v>
      </c>
      <c r="D33">
        <v>10454</v>
      </c>
      <c r="E33" t="s">
        <v>222</v>
      </c>
      <c r="F33" t="s">
        <v>215</v>
      </c>
      <c r="G33" t="s">
        <v>42</v>
      </c>
      <c r="H33">
        <v>28</v>
      </c>
      <c r="I33" t="s">
        <v>249</v>
      </c>
      <c r="J33" t="s">
        <v>233</v>
      </c>
      <c r="K33">
        <v>56000</v>
      </c>
      <c r="L33" t="s">
        <v>9</v>
      </c>
      <c r="M33" t="s">
        <v>255</v>
      </c>
      <c r="Q33" t="s">
        <v>35</v>
      </c>
      <c r="R33" cm="1">
        <f t="array" ref="R33:S33">_xlfn.XLOOKUP(Q33, R21:R29, S21:T29, "Not Found",0,1)</f>
        <v>45</v>
      </c>
      <c r="S33" t="str">
        <v>pablo.perez@aol.com</v>
      </c>
    </row>
    <row r="34" spans="1:26" x14ac:dyDescent="0.25">
      <c r="A34" t="s">
        <v>267</v>
      </c>
      <c r="B34" t="str">
        <f>_xlfn.XLOOKUP(A34, $H$20:$H$28, $N$20:$N$28, "Not Found", 0)</f>
        <v>Not Found</v>
      </c>
      <c r="D34">
        <v>10455</v>
      </c>
      <c r="E34" t="s">
        <v>221</v>
      </c>
      <c r="F34" t="s">
        <v>216</v>
      </c>
      <c r="G34" t="s">
        <v>25</v>
      </c>
      <c r="H34">
        <v>40</v>
      </c>
      <c r="I34" t="s">
        <v>249</v>
      </c>
      <c r="J34" t="s">
        <v>234</v>
      </c>
      <c r="K34">
        <v>76000</v>
      </c>
      <c r="L34" t="s">
        <v>22</v>
      </c>
      <c r="M34" t="s">
        <v>256</v>
      </c>
      <c r="Q34" t="s">
        <v>42</v>
      </c>
      <c r="R34" cm="1">
        <f t="array" ref="R34:S34">_xlfn.XLOOKUP(Q34, R22:R30, S22:T30, "Not Found",0,1)</f>
        <v>28</v>
      </c>
      <c r="S34" t="str">
        <v>joao.silva@aol.com</v>
      </c>
    </row>
    <row r="35" spans="1:26" x14ac:dyDescent="0.25">
      <c r="A35" t="s">
        <v>298</v>
      </c>
      <c r="B35" t="str">
        <f>_xlfn.XLOOKUP(A35, $H$20:$H$28, $N$20:$N$28, "Not Found", 0)</f>
        <v>linda.john@aol.com</v>
      </c>
      <c r="D35">
        <v>10456</v>
      </c>
      <c r="E35" t="s">
        <v>219</v>
      </c>
      <c r="F35" t="s">
        <v>218</v>
      </c>
      <c r="G35" t="s">
        <v>244</v>
      </c>
      <c r="H35">
        <v>25</v>
      </c>
      <c r="I35" t="s">
        <v>249</v>
      </c>
      <c r="J35" t="s">
        <v>235</v>
      </c>
      <c r="K35">
        <v>34000</v>
      </c>
      <c r="L35" t="s">
        <v>22</v>
      </c>
      <c r="M35" t="s">
        <v>257</v>
      </c>
      <c r="Q35" t="s">
        <v>25</v>
      </c>
      <c r="R35" cm="1">
        <f t="array" ref="R35:S35">_xlfn.XLOOKUP(Q35, R23:R31, S23:T31, "Not Found",0,1)</f>
        <v>40</v>
      </c>
      <c r="S35" t="str">
        <v>walter.muller@aol.com</v>
      </c>
    </row>
    <row r="36" spans="1:26" x14ac:dyDescent="0.25">
      <c r="D36">
        <v>10457</v>
      </c>
      <c r="E36" t="s">
        <v>220</v>
      </c>
      <c r="F36" t="s">
        <v>217</v>
      </c>
      <c r="G36" t="s">
        <v>31</v>
      </c>
      <c r="H36">
        <v>29</v>
      </c>
      <c r="I36" t="s">
        <v>250</v>
      </c>
      <c r="J36" t="s">
        <v>236</v>
      </c>
      <c r="K36">
        <v>36000</v>
      </c>
      <c r="L36" t="s">
        <v>22</v>
      </c>
      <c r="M36" t="s">
        <v>258</v>
      </c>
    </row>
    <row r="37" spans="1:26" ht="15.75" x14ac:dyDescent="0.25">
      <c r="D37">
        <v>10459</v>
      </c>
      <c r="E37" t="s">
        <v>230</v>
      </c>
      <c r="F37" t="s">
        <v>225</v>
      </c>
      <c r="G37" t="s">
        <v>245</v>
      </c>
      <c r="H37">
        <v>31</v>
      </c>
      <c r="I37" t="s">
        <v>249</v>
      </c>
      <c r="J37" t="s">
        <v>237</v>
      </c>
      <c r="K37">
        <v>55000</v>
      </c>
      <c r="L37" t="s">
        <v>22</v>
      </c>
      <c r="M37" t="s">
        <v>259</v>
      </c>
      <c r="W37" s="41" t="s">
        <v>288</v>
      </c>
      <c r="X37" s="41"/>
      <c r="Y37" s="41"/>
      <c r="Z37" s="41"/>
    </row>
    <row r="38" spans="1:26" ht="15.75" x14ac:dyDescent="0.25">
      <c r="D38">
        <v>10460</v>
      </c>
      <c r="E38" t="s">
        <v>229</v>
      </c>
      <c r="F38" t="s">
        <v>226</v>
      </c>
      <c r="G38" t="s">
        <v>246</v>
      </c>
      <c r="H38">
        <v>27</v>
      </c>
      <c r="I38" t="s">
        <v>249</v>
      </c>
      <c r="J38" t="s">
        <v>239</v>
      </c>
      <c r="K38">
        <v>48000</v>
      </c>
      <c r="L38" t="s">
        <v>30</v>
      </c>
      <c r="M38" t="s">
        <v>260</v>
      </c>
      <c r="Q38" s="41" t="s">
        <v>297</v>
      </c>
      <c r="R38" s="41"/>
      <c r="S38" s="41"/>
      <c r="T38" s="41"/>
      <c r="X38" t="s">
        <v>291</v>
      </c>
      <c r="Y38" t="s">
        <v>292</v>
      </c>
      <c r="Z38" t="s">
        <v>293</v>
      </c>
    </row>
    <row r="39" spans="1:26" x14ac:dyDescent="0.25">
      <c r="D39">
        <v>10461</v>
      </c>
      <c r="E39" t="s">
        <v>228</v>
      </c>
      <c r="F39" t="s">
        <v>227</v>
      </c>
      <c r="G39" t="s">
        <v>247</v>
      </c>
      <c r="H39">
        <v>28</v>
      </c>
      <c r="I39" t="s">
        <v>250</v>
      </c>
      <c r="J39" t="s">
        <v>240</v>
      </c>
      <c r="K39">
        <v>40000</v>
      </c>
      <c r="L39" t="s">
        <v>30</v>
      </c>
      <c r="M39" t="s">
        <v>261</v>
      </c>
      <c r="R39" t="s">
        <v>300</v>
      </c>
      <c r="W39" t="s">
        <v>289</v>
      </c>
      <c r="X39">
        <f>_xlfn.XLOOKUP(X38, X29:AA29, X30:AA30)</f>
        <v>490</v>
      </c>
    </row>
    <row r="40" spans="1:26" x14ac:dyDescent="0.25">
      <c r="Q40" t="s">
        <v>224</v>
      </c>
      <c r="R40">
        <f>SUM(_xlfn.XLOOKUP(L41,J41:M41,J42:M42):_xlfn.XLOOKUP(M41,J41:M41,J42:M42))</f>
        <v>130</v>
      </c>
      <c r="W40" t="s">
        <v>290</v>
      </c>
      <c r="X40">
        <f t="shared" ref="X40:X41" si="3">_xlfn.XLOOKUP(X39, X30:AA30, X31:AA31)</f>
        <v>4302</v>
      </c>
    </row>
    <row r="41" spans="1:26" x14ac:dyDescent="0.25">
      <c r="G41" t="s">
        <v>292</v>
      </c>
      <c r="J41" t="s">
        <v>294</v>
      </c>
      <c r="K41" t="s">
        <v>291</v>
      </c>
      <c r="L41" t="s">
        <v>292</v>
      </c>
      <c r="M41" t="s">
        <v>293</v>
      </c>
      <c r="Q41" t="s">
        <v>223</v>
      </c>
      <c r="R41">
        <f>SUM(_xlfn.XLOOKUP(L42,J42:M42,J43:M43):_xlfn.XLOOKUP(M42,J42:M42,J43:M43))</f>
        <v>105</v>
      </c>
      <c r="W41" t="s">
        <v>199</v>
      </c>
      <c r="X41">
        <f t="shared" si="3"/>
        <v>129</v>
      </c>
    </row>
    <row r="42" spans="1:26" x14ac:dyDescent="0.25">
      <c r="F42" t="s">
        <v>224</v>
      </c>
      <c r="G42">
        <v>100</v>
      </c>
      <c r="I42" t="s">
        <v>224</v>
      </c>
      <c r="J42">
        <v>25</v>
      </c>
      <c r="K42">
        <v>80</v>
      </c>
      <c r="L42">
        <v>100</v>
      </c>
      <c r="M42">
        <v>30</v>
      </c>
      <c r="Q42" t="s">
        <v>222</v>
      </c>
      <c r="R42">
        <f>SUM(_xlfn.XLOOKUP(L43,J43:M43,J44:M44):_xlfn.XLOOKUP(M43,J43:M43,J44:M44))</f>
        <v>87</v>
      </c>
    </row>
    <row r="43" spans="1:26" x14ac:dyDescent="0.25">
      <c r="F43" t="s">
        <v>223</v>
      </c>
      <c r="G43">
        <v>80</v>
      </c>
      <c r="I43" t="s">
        <v>223</v>
      </c>
      <c r="J43">
        <v>34</v>
      </c>
      <c r="K43">
        <v>40</v>
      </c>
      <c r="L43">
        <v>80</v>
      </c>
      <c r="M43">
        <v>25</v>
      </c>
      <c r="Q43" t="s">
        <v>228</v>
      </c>
      <c r="R43">
        <f>SUM(_xlfn.XLOOKUP(L44,J44:M44,J45:M45):_xlfn.XLOOKUP(M44,J44:M44,J45:M45))</f>
        <v>144</v>
      </c>
    </row>
    <row r="44" spans="1:26" x14ac:dyDescent="0.25">
      <c r="F44" t="s">
        <v>222</v>
      </c>
      <c r="G44">
        <v>35</v>
      </c>
      <c r="I44" t="s">
        <v>222</v>
      </c>
      <c r="J44">
        <v>28</v>
      </c>
      <c r="K44">
        <v>90</v>
      </c>
      <c r="L44">
        <v>35</v>
      </c>
      <c r="M44">
        <v>52</v>
      </c>
    </row>
    <row r="45" spans="1:26" x14ac:dyDescent="0.25">
      <c r="F45" t="s">
        <v>228</v>
      </c>
      <c r="G45">
        <v>45</v>
      </c>
      <c r="I45" t="s">
        <v>228</v>
      </c>
      <c r="J45">
        <v>15</v>
      </c>
      <c r="K45">
        <v>33</v>
      </c>
      <c r="L45">
        <v>45</v>
      </c>
      <c r="M45">
        <v>99</v>
      </c>
    </row>
  </sheetData>
  <mergeCells count="10">
    <mergeCell ref="Q38:T38"/>
    <mergeCell ref="W3:X3"/>
    <mergeCell ref="W37:Z37"/>
    <mergeCell ref="W13:Y13"/>
    <mergeCell ref="B1:R1"/>
    <mergeCell ref="A3:C3"/>
    <mergeCell ref="A18:C18"/>
    <mergeCell ref="A17:D17"/>
    <mergeCell ref="A30:B30"/>
    <mergeCell ref="Q30:U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F6EF3-B5B0-4A08-A576-B27440C6F23D}">
  <dimension ref="A2:P27"/>
  <sheetViews>
    <sheetView workbookViewId="0">
      <selection activeCell="L29" sqref="L29"/>
    </sheetView>
  </sheetViews>
  <sheetFormatPr defaultRowHeight="15" x14ac:dyDescent="0.25"/>
  <cols>
    <col min="1" max="1" width="11.28515625" bestFit="1" customWidth="1"/>
    <col min="2" max="2" width="10.42578125" bestFit="1" customWidth="1"/>
    <col min="3" max="3" width="11.85546875" bestFit="1" customWidth="1"/>
    <col min="4" max="6" width="7.5703125" bestFit="1" customWidth="1"/>
    <col min="7" max="7" width="11.28515625" bestFit="1" customWidth="1"/>
    <col min="8" max="9" width="10.42578125" bestFit="1" customWidth="1"/>
    <col min="10" max="10" width="19.140625" bestFit="1" customWidth="1"/>
    <col min="11" max="11" width="19" bestFit="1" customWidth="1"/>
    <col min="12" max="13" width="10.42578125" bestFit="1" customWidth="1"/>
    <col min="14" max="14" width="21" bestFit="1" customWidth="1"/>
    <col min="15" max="15" width="19.140625" bestFit="1" customWidth="1"/>
    <col min="16" max="16" width="17" bestFit="1" customWidth="1"/>
    <col min="17" max="67" width="10.42578125" bestFit="1" customWidth="1"/>
    <col min="68" max="68" width="12" bestFit="1" customWidth="1"/>
  </cols>
  <sheetData>
    <row r="2" spans="1:16" x14ac:dyDescent="0.25">
      <c r="A2" s="19" t="s">
        <v>206</v>
      </c>
      <c r="B2" t="s">
        <v>171</v>
      </c>
      <c r="C2" t="s">
        <v>172</v>
      </c>
    </row>
    <row r="3" spans="1:16" x14ac:dyDescent="0.25">
      <c r="A3" s="1" t="s">
        <v>21</v>
      </c>
      <c r="B3" s="9">
        <v>546.62000000000012</v>
      </c>
      <c r="C3">
        <v>75</v>
      </c>
      <c r="O3" s="19" t="s">
        <v>179</v>
      </c>
      <c r="P3" t="s">
        <v>180</v>
      </c>
    </row>
    <row r="4" spans="1:16" x14ac:dyDescent="0.25">
      <c r="A4" s="1" t="s">
        <v>14</v>
      </c>
      <c r="B4" s="9">
        <v>521.05000000000007</v>
      </c>
      <c r="C4">
        <v>75</v>
      </c>
      <c r="O4" s="1" t="s">
        <v>15</v>
      </c>
      <c r="P4" s="6">
        <v>34983.140000000007</v>
      </c>
    </row>
    <row r="5" spans="1:16" x14ac:dyDescent="0.25">
      <c r="A5" s="1" t="s">
        <v>17</v>
      </c>
      <c r="B5" s="9">
        <v>331.82000000000005</v>
      </c>
      <c r="C5">
        <v>46</v>
      </c>
      <c r="O5" s="1" t="s">
        <v>10</v>
      </c>
      <c r="P5" s="6">
        <v>32034.339999999986</v>
      </c>
    </row>
    <row r="6" spans="1:16" x14ac:dyDescent="0.25">
      <c r="A6" s="1" t="s">
        <v>26</v>
      </c>
      <c r="B6" s="9">
        <v>206.22</v>
      </c>
      <c r="C6">
        <v>30</v>
      </c>
      <c r="O6" s="1" t="s">
        <v>23</v>
      </c>
      <c r="P6" s="6">
        <v>29022.309999999994</v>
      </c>
    </row>
    <row r="7" spans="1:16" x14ac:dyDescent="0.25">
      <c r="A7" s="1" t="s">
        <v>29</v>
      </c>
      <c r="B7" s="9">
        <v>198.28</v>
      </c>
      <c r="C7">
        <v>28</v>
      </c>
      <c r="O7" s="1" t="s">
        <v>27</v>
      </c>
      <c r="P7" s="6">
        <v>11135.920000000002</v>
      </c>
    </row>
    <row r="8" spans="1:16" x14ac:dyDescent="0.25">
      <c r="A8" s="1" t="s">
        <v>177</v>
      </c>
      <c r="B8" s="9">
        <v>1803.9900000000043</v>
      </c>
      <c r="C8">
        <v>254</v>
      </c>
      <c r="O8" s="1" t="s">
        <v>18</v>
      </c>
      <c r="P8" s="6">
        <v>9819.5999999999913</v>
      </c>
    </row>
    <row r="9" spans="1:16" x14ac:dyDescent="0.25">
      <c r="O9" s="1" t="s">
        <v>177</v>
      </c>
      <c r="P9" s="6">
        <v>116995.30999999997</v>
      </c>
    </row>
    <row r="21" spans="1:2" x14ac:dyDescent="0.25">
      <c r="A21" s="19" t="s">
        <v>179</v>
      </c>
      <c r="B21" t="s">
        <v>178</v>
      </c>
    </row>
    <row r="22" spans="1:2" x14ac:dyDescent="0.25">
      <c r="A22" s="1" t="s">
        <v>23</v>
      </c>
      <c r="B22" s="5">
        <v>12.990000000000007</v>
      </c>
    </row>
    <row r="23" spans="1:2" x14ac:dyDescent="0.25">
      <c r="A23" s="1" t="s">
        <v>27</v>
      </c>
      <c r="B23" s="5">
        <v>10.317307692307686</v>
      </c>
    </row>
    <row r="24" spans="1:2" x14ac:dyDescent="0.25">
      <c r="A24" s="1" t="s">
        <v>18</v>
      </c>
      <c r="B24" s="5">
        <v>4.9900000000000029</v>
      </c>
    </row>
    <row r="25" spans="1:2" x14ac:dyDescent="0.25">
      <c r="A25" s="1" t="s">
        <v>10</v>
      </c>
      <c r="B25" s="5">
        <v>3.9215686274509824</v>
      </c>
    </row>
    <row r="26" spans="1:2" x14ac:dyDescent="0.25">
      <c r="A26" s="1" t="s">
        <v>15</v>
      </c>
      <c r="B26" s="5">
        <v>2.95</v>
      </c>
    </row>
    <row r="27" spans="1:2" x14ac:dyDescent="0.25">
      <c r="A27" s="1" t="s">
        <v>177</v>
      </c>
      <c r="B27" s="5">
        <v>7.1023228346456833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C40D89-A713-4540-87CA-5974585B0C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 Sales-Data</vt:lpstr>
      <vt:lpstr>BASIC PROFICIENCY SHEET</vt:lpstr>
      <vt:lpstr>INTERMEDIATE PROFICIENCY SHEET</vt:lpstr>
      <vt:lpstr>ADVANCED PROFICIENCY SHEET</vt:lpstr>
      <vt:lpstr>XLOOKUP</vt:lpstr>
      <vt:lpstr>PIVOT</vt:lpstr>
      <vt:lpstr>City</vt:lpstr>
      <vt:lpstr>Date</vt:lpstr>
      <vt:lpstr>Intermediate_tbl</vt:lpstr>
      <vt:lpstr>Manager</vt:lpstr>
      <vt:lpstr>Order_ID</vt:lpstr>
      <vt:lpstr>Payment_Method</vt:lpstr>
      <vt:lpstr>Price</vt:lpstr>
      <vt:lpstr>Product</vt:lpstr>
      <vt:lpstr>Purchase_Type</vt:lpstr>
      <vt:lpstr>Quantity</vt:lpstr>
      <vt:lpstr>Totals_by_City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nadanee</dc:creator>
  <cp:lastModifiedBy>Abbas Nadani</cp:lastModifiedBy>
  <dcterms:created xsi:type="dcterms:W3CDTF">2025-10-22T05:06:17Z</dcterms:created>
  <dcterms:modified xsi:type="dcterms:W3CDTF">2025-11-28T00:21:39Z</dcterms:modified>
</cp:coreProperties>
</file>